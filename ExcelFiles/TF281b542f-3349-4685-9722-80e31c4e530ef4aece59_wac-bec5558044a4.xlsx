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filterPrivacy="1" codeName="ThisWorkbook" hidePivotFieldList="1"/>
  <xr:revisionPtr revIDLastSave="0" documentId="8_{0FD17894-6115-408E-8D45-D2798C370F35}" xr6:coauthVersionLast="47" xr6:coauthVersionMax="47" xr10:uidLastSave="{00000000-0000-0000-0000-000000000000}"/>
  <bookViews>
    <workbookView xWindow="-108" yWindow="-108" windowWidth="23256" windowHeight="12720" tabRatio="843" xr2:uid="{00000000-000D-0000-FFFF-FFFF00000000}"/>
  </bookViews>
  <sheets>
    <sheet name="Guide" sheetId="4" r:id="rId1"/>
    <sheet name="Daily cash flow" sheetId="9" r:id="rId2"/>
    <sheet name="Monthly cash flow" sheetId="2" r:id="rId3"/>
    <sheet name="Annual cash flow" sheetId="10" r:id="rId4"/>
    <sheet name="Income" sheetId="5" r:id="rId5"/>
    <sheet name="Expenses" sheetId="6" r:id="rId6"/>
    <sheet name="Discretionary" sheetId="7" r:id="rId7"/>
    <sheet name="Savings" sheetId="8"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_xlnm.Print_Area" localSheetId="3">'Annual cash flow'!$A:$Q</definedName>
    <definedName name="_xlnm.Print_Titles" localSheetId="1">'Daily cash flow'!$11:$11</definedName>
    <definedName name="_xlnm.Print_Titles" localSheetId="2">'Monthly cash flow'!$4:$4</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s>
  <calcPr calcId="191028"/>
  <pivotCaches>
    <pivotCache cacheId="6012" r:id="rId9"/>
    <pivotCache cacheId="6013" r:id="rId10"/>
    <pivotCache cacheId="6014" r:id="rId11"/>
    <pivotCache cacheId="6015"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vings" name="Savings" connection="WorksheetConnection_Personal Cash Flow.xlsx!Savings"/>
          <x15:modelTable id="Income" name="Income" connection="WorksheetConnection_Personal Cash Flow.xlsx!Income"/>
          <x15:modelTable id="Expenses" name="Expenses" connection="WorksheetConnection_Personal Cash Flow.xlsx!Expenses"/>
          <x15:modelTable id="Discretionary" name="Discretionary" connection="WorksheetConnection_Personal Cash Flow.xlsx!Discretion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9" l="1"/>
  <c r="C8" i="9"/>
  <c r="C7" i="9"/>
  <c r="C6" i="9"/>
  <c r="D2" i="9" s="1"/>
  <c r="F12" i="9"/>
  <c r="E12" i="9" s="1"/>
  <c r="F13" i="9"/>
  <c r="E13" i="9" s="1"/>
  <c r="F14" i="9"/>
  <c r="E14" i="9" s="1"/>
  <c r="F15" i="9"/>
  <c r="E15" i="9"/>
  <c r="F16" i="9"/>
  <c r="E16" i="9" s="1"/>
  <c r="F17" i="9"/>
  <c r="E17" i="9"/>
  <c r="F18" i="9"/>
  <c r="E18" i="9" s="1"/>
  <c r="F19" i="9"/>
  <c r="E19" i="9"/>
  <c r="F20" i="9"/>
  <c r="E20" i="9" s="1"/>
  <c r="F21" i="9"/>
  <c r="E21" i="9"/>
  <c r="F22" i="9"/>
  <c r="E22" i="9" s="1"/>
  <c r="F23" i="9"/>
  <c r="E23" i="9"/>
  <c r="F24" i="9"/>
  <c r="E24" i="9" s="1"/>
  <c r="F25" i="9"/>
  <c r="E25" i="9"/>
  <c r="F26" i="9"/>
  <c r="E26" i="9"/>
  <c r="F27" i="9"/>
  <c r="E27" i="9"/>
  <c r="F28" i="9"/>
  <c r="E28" i="9"/>
  <c r="F29" i="9"/>
  <c r="E29" i="9"/>
  <c r="F30" i="9"/>
  <c r="E30" i="9"/>
  <c r="F31" i="9"/>
  <c r="E31" i="9"/>
  <c r="F32" i="9"/>
  <c r="E32" i="9"/>
  <c r="F33" i="9"/>
  <c r="E33" i="9"/>
  <c r="F34" i="9"/>
  <c r="E34" i="9"/>
  <c r="F35" i="9"/>
  <c r="E35" i="9"/>
  <c r="F36" i="9"/>
  <c r="E36" i="9"/>
  <c r="F37" i="9"/>
  <c r="E37" i="9"/>
  <c r="F38" i="9"/>
  <c r="E38" i="9"/>
  <c r="F39" i="9"/>
  <c r="E39" i="9"/>
  <c r="F40" i="9"/>
  <c r="E40" i="9"/>
  <c r="F41" i="9"/>
  <c r="E41" i="9"/>
  <c r="F42" i="9"/>
  <c r="E42" i="9"/>
  <c r="F43" i="9"/>
  <c r="E43" i="9"/>
  <c r="F44" i="9"/>
  <c r="E44" i="9" s="1"/>
  <c r="D8" i="9" s="1"/>
  <c r="F45" i="9"/>
  <c r="E45" i="9" s="1"/>
  <c r="F46" i="9"/>
  <c r="E46" i="9" s="1"/>
  <c r="F47" i="9"/>
  <c r="E47" i="9" s="1"/>
  <c r="F48" i="9"/>
  <c r="E48" i="9" s="1"/>
  <c r="F49" i="9"/>
  <c r="E49" i="9" s="1"/>
  <c r="F50" i="9"/>
  <c r="E50" i="9" s="1"/>
  <c r="F51" i="9"/>
  <c r="E51" i="9" s="1"/>
  <c r="F52" i="9"/>
  <c r="E52" i="9" s="1"/>
  <c r="F53" i="9"/>
  <c r="E53" i="9" s="1"/>
  <c r="F54" i="9"/>
  <c r="E54" i="9" s="1"/>
  <c r="D55" i="9"/>
  <c r="E6" i="9"/>
  <c r="E7" i="9"/>
  <c r="F55" i="9"/>
  <c r="C10" i="8"/>
  <c r="O5" i="10" s="1"/>
  <c r="D9" i="8"/>
  <c r="D8" i="8"/>
  <c r="D10" i="8" s="1"/>
  <c r="O8" i="10" s="1"/>
  <c r="D7" i="8"/>
  <c r="D6" i="8"/>
  <c r="D5" i="8"/>
  <c r="C16" i="7"/>
  <c r="K5" i="10" s="1"/>
  <c r="D15" i="7"/>
  <c r="D14" i="7"/>
  <c r="D13" i="7"/>
  <c r="D12" i="7"/>
  <c r="D11" i="7"/>
  <c r="D10" i="7"/>
  <c r="D9" i="7"/>
  <c r="D8" i="7"/>
  <c r="D7" i="7"/>
  <c r="D6" i="7"/>
  <c r="D5" i="7"/>
  <c r="D16" i="7" s="1"/>
  <c r="K8" i="10" s="1"/>
  <c r="C23" i="6"/>
  <c r="G5" i="10" s="1"/>
  <c r="D22" i="6"/>
  <c r="D21" i="6"/>
  <c r="D20" i="6"/>
  <c r="D19" i="6"/>
  <c r="D18" i="6"/>
  <c r="D17" i="6"/>
  <c r="D16" i="6"/>
  <c r="D15" i="6"/>
  <c r="D14" i="6"/>
  <c r="D13" i="6"/>
  <c r="D12" i="6"/>
  <c r="D11" i="6"/>
  <c r="D10" i="6"/>
  <c r="D9" i="6"/>
  <c r="D8" i="6"/>
  <c r="D7" i="6"/>
  <c r="D6" i="6"/>
  <c r="D5" i="6"/>
  <c r="C11" i="5"/>
  <c r="D2" i="10" s="1"/>
  <c r="D10" i="5"/>
  <c r="D9" i="5"/>
  <c r="D8" i="5"/>
  <c r="D7" i="5"/>
  <c r="D6" i="5"/>
  <c r="D11" i="5" s="1"/>
  <c r="C8" i="10" s="1"/>
  <c r="D5" i="5"/>
  <c r="C5" i="10"/>
  <c r="D2" i="6"/>
  <c r="D23" i="6"/>
  <c r="G8" i="10" s="1"/>
  <c r="O48" i="2"/>
  <c r="N48" i="2"/>
  <c r="M48" i="2"/>
  <c r="L48" i="2"/>
  <c r="K48" i="2"/>
  <c r="J48" i="2"/>
  <c r="I48" i="2"/>
  <c r="H48" i="2"/>
  <c r="G48" i="2"/>
  <c r="F48" i="2"/>
  <c r="E48" i="2"/>
  <c r="D48" i="2"/>
  <c r="P5" i="2"/>
  <c r="P48" i="2" s="1"/>
  <c r="D2" i="2" s="1"/>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D9" i="9" l="1"/>
  <c r="D7" i="9"/>
  <c r="D6" i="9"/>
  <c r="E55" i="9"/>
  <c r="D2" i="7"/>
  <c r="D2" i="5"/>
  <c r="E9" i="9"/>
  <c r="E8" i="9"/>
  <c r="D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ersonal Cash Flow.xlsx!Discretionary" type="102" refreshedVersion="8" minRefreshableVersion="5">
    <extLst>
      <ext xmlns:x15="http://schemas.microsoft.com/office/spreadsheetml/2010/11/main" uri="{DE250136-89BD-433C-8126-D09CA5730AF9}">
        <x15:connection id="Discretionary" autoDelete="1">
          <x15:rangePr sourceName="_xlcn.WorksheetConnection_PersonalCashFlow.xlsxDiscretionary1"/>
        </x15:connection>
      </ext>
    </extLst>
  </connection>
  <connection id="3" xr16:uid="{00000000-0015-0000-FFFF-FFFF02000000}" name="WorksheetConnection_Personal Cash Flow.xlsx!Expenses" type="102" refreshedVersion="8" minRefreshableVersion="5">
    <extLst>
      <ext xmlns:x15="http://schemas.microsoft.com/office/spreadsheetml/2010/11/main" uri="{DE250136-89BD-433C-8126-D09CA5730AF9}">
        <x15:connection id="Expenses" autoDelete="1">
          <x15:rangePr sourceName="_xlcn.WorksheetConnection_PersonalCashFlow.xlsxExpenses1"/>
        </x15:connection>
      </ext>
    </extLst>
  </connection>
  <connection id="4" xr16:uid="{00000000-0015-0000-FFFF-FFFF03000000}" name="WorksheetConnection_Personal Cash Flow.xlsx!Income" type="102" refreshedVersion="8" minRefreshableVersion="5">
    <extLst>
      <ext xmlns:x15="http://schemas.microsoft.com/office/spreadsheetml/2010/11/main" uri="{DE250136-89BD-433C-8126-D09CA5730AF9}">
        <x15:connection id="Income" autoDelete="1">
          <x15:rangePr sourceName="_xlcn.WorksheetConnection_PersonalCashFlow.xlsxIncome1"/>
        </x15:connection>
      </ext>
    </extLst>
  </connection>
  <connection id="5" xr16:uid="{00000000-0015-0000-FFFF-FFFF04000000}" name="WorksheetConnection_Personal Cash Flow.xlsx!Savings" type="102" refreshedVersion="8" minRefreshableVersion="5">
    <extLst>
      <ext xmlns:x15="http://schemas.microsoft.com/office/spreadsheetml/2010/11/main" uri="{DE250136-89BD-433C-8126-D09CA5730AF9}">
        <x15:connection id="Savings" autoDelete="1">
          <x15:rangePr sourceName="_xlcn.WorksheetConnection_PersonalCashFlow.xlsxSavings1"/>
        </x15:connection>
      </ext>
    </extLst>
  </connection>
</connections>
</file>

<file path=xl/sharedStrings.xml><?xml version="1.0" encoding="utf-8"?>
<sst xmlns="http://schemas.openxmlformats.org/spreadsheetml/2006/main" count="356" uniqueCount="105">
  <si>
    <t xml:space="preserve"> </t>
  </si>
  <si>
    <t>PERSONAL CASH FLOW</t>
  </si>
  <si>
    <t xml:space="preserve">  This workbook has annual, monthly and daily cash flow worksheets. 
  Choose the cash flow type that works best for you or use them all to help gain insight on your personal cash flow.</t>
  </si>
  <si>
    <t>Daily cash flow</t>
  </si>
  <si>
    <t>Monthly cash flow</t>
  </si>
  <si>
    <t>Annual cash flow</t>
  </si>
  <si>
    <t>Enter an estimated amount of cash flow you experience daily and review the estimated monthly and annual totals.  Use this to get a sense of what your daily spending habits will look like over the course of a month or year.</t>
  </si>
  <si>
    <t>Enter the monthly cash flow you experience monthly or estimate the remaining months to see the projected cash flow for the year for each month.</t>
  </si>
  <si>
    <t>Enter an annual cash flow amount in four worksheets: Income, Expenses, Discretionary, and Savings. 
See the monthly break down and how everything compares, and most importantly what your bottom line is in both annual and monthly figures.</t>
  </si>
  <si>
    <t>Total available cash:</t>
  </si>
  <si>
    <t>NOTE: If you wish to add daily items to the table, estimate their monthly amount/value and place value in the appropriate month column.</t>
  </si>
  <si>
    <t>DAILY SUMMARY</t>
  </si>
  <si>
    <t>Totals</t>
  </si>
  <si>
    <t>Daily</t>
  </si>
  <si>
    <t>Monthly</t>
  </si>
  <si>
    <t xml:space="preserve">Annual </t>
  </si>
  <si>
    <t>Income</t>
  </si>
  <si>
    <t>Expenses</t>
  </si>
  <si>
    <t>Discretionary</t>
  </si>
  <si>
    <t>Savings</t>
  </si>
  <si>
    <t>Type</t>
  </si>
  <si>
    <t>Description</t>
  </si>
  <si>
    <t>Annual</t>
  </si>
  <si>
    <t>Salary</t>
  </si>
  <si>
    <t>Commissions/bonus</t>
  </si>
  <si>
    <t>Other 1</t>
  </si>
  <si>
    <t>Other 2</t>
  </si>
  <si>
    <t>Other 3</t>
  </si>
  <si>
    <t>Other 4</t>
  </si>
  <si>
    <t>Federal/SS/Medicare</t>
  </si>
  <si>
    <t>State income tax</t>
  </si>
  <si>
    <t>Vehicle tax/fees</t>
  </si>
  <si>
    <t>Vehicle payments</t>
  </si>
  <si>
    <t>Mortgage/rent</t>
  </si>
  <si>
    <t>Insurance</t>
  </si>
  <si>
    <t>Electricity</t>
  </si>
  <si>
    <t>Gas</t>
  </si>
  <si>
    <t>Water</t>
  </si>
  <si>
    <t>Sewer</t>
  </si>
  <si>
    <t>Garbage</t>
  </si>
  <si>
    <t>Phone</t>
  </si>
  <si>
    <t>Internet</t>
  </si>
  <si>
    <t>Disability premiums</t>
  </si>
  <si>
    <t>Food</t>
  </si>
  <si>
    <t>Clothing</t>
  </si>
  <si>
    <t>Medical/dental/Rx</t>
  </si>
  <si>
    <t>Bus</t>
  </si>
  <si>
    <t>Dining</t>
  </si>
  <si>
    <t>Gifts</t>
  </si>
  <si>
    <t>Travel</t>
  </si>
  <si>
    <t>Entertainment</t>
  </si>
  <si>
    <t>Personal care</t>
  </si>
  <si>
    <t>Shopping</t>
  </si>
  <si>
    <t>Charity</t>
  </si>
  <si>
    <t>Club memberships</t>
  </si>
  <si>
    <t>Home improvements</t>
  </si>
  <si>
    <t>Cash reserves</t>
  </si>
  <si>
    <t>401k etc.</t>
  </si>
  <si>
    <t>Savings account</t>
  </si>
  <si>
    <t>Total</t>
  </si>
  <si>
    <t>Total monthly cash flow:</t>
  </si>
  <si>
    <t xml:space="preserve">NOTE: For daily items, estimate the monthly amount/value and place that value in the appropriate month column.
</t>
  </si>
  <si>
    <t>Jan</t>
  </si>
  <si>
    <t>Feb</t>
  </si>
  <si>
    <t>Mar</t>
  </si>
  <si>
    <t>Apr</t>
  </si>
  <si>
    <t>May</t>
  </si>
  <si>
    <t>Jun</t>
  </si>
  <si>
    <t>Jul</t>
  </si>
  <si>
    <t>Aug</t>
  </si>
  <si>
    <t>Sep</t>
  </si>
  <si>
    <t>Oct</t>
  </si>
  <si>
    <t>Nov</t>
  </si>
  <si>
    <t>Dec</t>
  </si>
  <si>
    <t>Total cash flow to date:</t>
  </si>
  <si>
    <t>This is an annual estimation.  Use this worksheet if you wish to view annual amounts with estimated monthly values. Use income, expenses, discretionary, and savings worksheets to enter items.</t>
  </si>
  <si>
    <t>INCOME SUMMARY</t>
  </si>
  <si>
    <t>EXPENSES SUMMARY</t>
  </si>
  <si>
    <t>DISCRETIONARY SUMMARY</t>
  </si>
  <si>
    <t>SAVINGS SUMMARY</t>
  </si>
  <si>
    <t>Total annual:</t>
  </si>
  <si>
    <t>Total Monthly:</t>
  </si>
  <si>
    <t>Row Labels</t>
  </si>
  <si>
    <t>Annual Income</t>
  </si>
  <si>
    <t>Sum of Annual</t>
  </si>
  <si>
    <t>Club/Memberships</t>
  </si>
  <si>
    <t>Cash Reserves</t>
  </si>
  <si>
    <t>Vehicle Tax/Fees</t>
  </si>
  <si>
    <t>Personal Care</t>
  </si>
  <si>
    <t>Savings/Investment</t>
  </si>
  <si>
    <t>401(k)/Etc</t>
  </si>
  <si>
    <t>Grand Total</t>
  </si>
  <si>
    <t>Water/Sewer</t>
  </si>
  <si>
    <t>Medical/Dental/Rx</t>
  </si>
  <si>
    <t>Home Improvements</t>
  </si>
  <si>
    <t>Disability Premiums</t>
  </si>
  <si>
    <t>State Income Tax</t>
  </si>
  <si>
    <t>Vehicle Payments</t>
  </si>
  <si>
    <t>Mortgage/Rent</t>
  </si>
  <si>
    <t>This is an annual estimation.  Use this worksheet if you wish to view annual amounts with estimated monthly values.
If you wish to add daily items to the tables, estimate their annual amount/value and place value in the annual column.</t>
  </si>
  <si>
    <t xml:space="preserve">Annual  </t>
  </si>
  <si>
    <t xml:space="preserve">Monthly </t>
  </si>
  <si>
    <t>This is an annual estimation.  Use this worksheet if you wish to view annual amounts with estimated monthly values
If you wish to add daily items to the tables, estimate their annual amount/value and place value in the annual column.</t>
  </si>
  <si>
    <t>Water/sewer</t>
  </si>
  <si>
    <t>Savings/investment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</si>
</sst>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5" formatCode="&quot;$&quot;#,##0_);\(&quot;$&quot;#,##0\)"/>
    <numFmt numFmtId="7" formatCode="&quot;$&quot;#,##0.00_);\(&quot;$&quot;#,##0.00\)"/>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quot;$&quot;#,##0.00"/>
    <numFmt numFmtId="168" formatCode="_)@"/>
    <numFmt numFmtId="169" formatCode="&quot;$&quot;#,##0"/>
  </numFmts>
  <fonts count="45">
    <font>
      <sz val="11"/>
      <name val="Lucida Sans"/>
      <family val="2"/>
      <scheme val="minor"/>
    </font>
    <font>
      <b/>
      <sz val="24"/>
      <color theme="5" tint="-0.24994659260841701"/>
      <name val="Cambria"/>
      <family val="2"/>
      <scheme val="major"/>
    </font>
    <font>
      <b/>
      <sz val="14"/>
      <color theme="3" tint="0.24994659260841701"/>
      <name val="Cambria"/>
      <family val="2"/>
      <scheme val="major"/>
    </font>
    <font>
      <b/>
      <sz val="11"/>
      <color theme="3" tint="0.24994659260841701"/>
      <name val="Cambria"/>
      <family val="2"/>
      <scheme val="major"/>
    </font>
    <font>
      <b/>
      <sz val="12"/>
      <color theme="3" tint="0.24994659260841701"/>
      <name val="Cambria"/>
      <family val="2"/>
      <scheme val="major"/>
    </font>
    <font>
      <sz val="36"/>
      <color theme="3" tint="0.24994659260841701"/>
      <name val="Cambria"/>
      <family val="2"/>
      <scheme val="major"/>
    </font>
    <font>
      <b/>
      <sz val="11"/>
      <color theme="1"/>
      <name val="Lucida Sans"/>
      <family val="2"/>
      <scheme val="minor"/>
    </font>
    <font>
      <sz val="11"/>
      <name val="Lucida Sans"/>
      <family val="2"/>
      <scheme val="minor"/>
    </font>
    <font>
      <i/>
      <sz val="11"/>
      <color theme="1" tint="0.34998626667073579"/>
      <name val="Lucida Sans"/>
      <family val="2"/>
      <scheme val="minor"/>
    </font>
    <font>
      <b/>
      <sz val="16"/>
      <color theme="3" tint="0.89996032593768116"/>
      <name val="Lucida Sans"/>
      <family val="2"/>
      <scheme val="minor"/>
    </font>
    <font>
      <sz val="11"/>
      <color theme="3" tint="0.249977111117893"/>
      <name val="Lucida Sans"/>
      <family val="2"/>
      <scheme val="minor"/>
    </font>
    <font>
      <sz val="11"/>
      <color theme="6" tint="0.79998168889431442"/>
      <name val="Lucida Sans"/>
      <family val="2"/>
      <scheme val="minor"/>
    </font>
    <font>
      <b/>
      <sz val="12"/>
      <color theme="3" tint="0.89996032593768116"/>
      <name val="Lucida Sans"/>
      <family val="2"/>
      <scheme val="minor"/>
    </font>
    <font>
      <b/>
      <sz val="16"/>
      <color rgb="FF57574D"/>
      <name val="Lucida Sans"/>
      <family val="2"/>
      <scheme val="minor"/>
    </font>
    <font>
      <b/>
      <sz val="12"/>
      <color theme="3" tint="0.89992980742820516"/>
      <name val="Lucida Sans"/>
      <family val="2"/>
      <scheme val="minor"/>
    </font>
    <font>
      <sz val="11"/>
      <color theme="3" tint="0.24994659260841701"/>
      <name val="Lucida Sans"/>
      <family val="2"/>
      <scheme val="minor"/>
    </font>
    <font>
      <sz val="36"/>
      <color theme="3" tint="0.24994659260841701"/>
      <name val="Cambria"/>
      <family val="1"/>
      <scheme val="major"/>
    </font>
    <font>
      <sz val="11"/>
      <name val="Cambria"/>
      <family val="1"/>
      <scheme val="major"/>
    </font>
    <font>
      <sz val="16"/>
      <color theme="3" tint="0.89996032593768116"/>
      <name val="Lucida Sans"/>
      <family val="2"/>
      <scheme val="minor"/>
    </font>
    <font>
      <b/>
      <sz val="11"/>
      <color theme="3" tint="0.89996032593768116"/>
      <name val="Lucida Sans"/>
      <family val="2"/>
      <scheme val="minor"/>
    </font>
    <font>
      <sz val="16"/>
      <color theme="3" tint="0.24994659260841701"/>
      <name val="Cambria"/>
      <family val="1"/>
      <scheme val="major"/>
    </font>
    <font>
      <sz val="16"/>
      <name val="Cambria"/>
      <family val="1"/>
      <scheme val="major"/>
    </font>
    <font>
      <sz val="36"/>
      <name val="Cambria"/>
      <family val="1"/>
      <scheme val="major"/>
    </font>
    <font>
      <sz val="16"/>
      <color theme="0"/>
      <name val="Cambria"/>
      <family val="1"/>
      <scheme val="major"/>
    </font>
    <font>
      <b/>
      <sz val="8"/>
      <color theme="3" tint="0.89996032593768116"/>
      <name val="Lucida Sans"/>
      <family val="2"/>
      <scheme val="minor"/>
    </font>
    <font>
      <b/>
      <sz val="24"/>
      <color theme="5" tint="-0.24994659260841701"/>
      <name val="Lucida Sans"/>
      <family val="2"/>
      <scheme val="minor"/>
    </font>
    <font>
      <b/>
      <sz val="20"/>
      <color theme="5" tint="-0.24994659260841701"/>
      <name val="Cambria"/>
      <family val="1"/>
      <scheme val="major"/>
    </font>
    <font>
      <sz val="11"/>
      <color theme="3" tint="0.249977111117893"/>
      <name val="Cambria"/>
      <family val="1"/>
      <scheme val="major"/>
    </font>
    <font>
      <b/>
      <sz val="14"/>
      <color rgb="FF57574D"/>
      <name val="Cambria"/>
      <family val="1"/>
      <scheme val="major"/>
    </font>
    <font>
      <b/>
      <sz val="18"/>
      <color theme="5" tint="-0.24994659260841701"/>
      <name val="Cambria"/>
      <family val="1"/>
      <scheme val="major"/>
    </font>
    <font>
      <sz val="11"/>
      <color theme="1" tint="0.249977111117893"/>
      <name val="Lucida Sans"/>
      <family val="2"/>
      <scheme val="minor"/>
    </font>
    <font>
      <sz val="36"/>
      <color theme="1" tint="0.14999847407452621"/>
      <name val="Cambria"/>
      <family val="1"/>
      <scheme val="major"/>
    </font>
    <font>
      <sz val="16"/>
      <color theme="1" tint="0.14999847407452621"/>
      <name val="Cambria"/>
      <family val="1"/>
      <scheme val="major"/>
    </font>
    <font>
      <sz val="11"/>
      <color theme="1" tint="0.34998626667073579"/>
      <name val="Cambria"/>
      <family val="1"/>
      <scheme val="major"/>
    </font>
    <font>
      <sz val="16"/>
      <color rgb="FF57574D"/>
      <name val="Lucida Sans"/>
      <family val="2"/>
      <scheme val="minor"/>
    </font>
    <font>
      <b/>
      <sz val="24"/>
      <color theme="5" tint="-0.24994659260841701"/>
      <name val="Cambria"/>
      <family val="1"/>
      <scheme val="major"/>
    </font>
    <font>
      <sz val="16"/>
      <color theme="1" tint="0.249977111117893"/>
      <name val="Cambria"/>
      <family val="1"/>
      <scheme val="major"/>
    </font>
    <font>
      <sz val="12"/>
      <color theme="1" tint="0.249977111117893"/>
      <name val="Lucida Sans"/>
      <family val="2"/>
      <scheme val="minor"/>
    </font>
    <font>
      <sz val="10"/>
      <color theme="1" tint="0.249977111117893"/>
      <name val="Lucida Sans"/>
      <family val="2"/>
      <scheme val="minor"/>
    </font>
    <font>
      <sz val="11"/>
      <color theme="1" tint="0.249977111117893"/>
      <name val="Cambria"/>
      <family val="1"/>
      <scheme val="major"/>
    </font>
    <font>
      <sz val="12"/>
      <color theme="1" tint="0.249977111117893"/>
      <name val="Cambria"/>
      <family val="1"/>
      <scheme val="major"/>
    </font>
    <font>
      <sz val="14"/>
      <color theme="1" tint="0.249977111117893"/>
      <name val="Cambria"/>
      <family val="1"/>
      <scheme val="major"/>
    </font>
    <font>
      <b/>
      <sz val="12"/>
      <color theme="1" tint="0.249977111117893"/>
      <name val="Lucida Sans"/>
      <family val="2"/>
      <scheme val="minor"/>
    </font>
    <font>
      <b/>
      <sz val="16"/>
      <color rgb="FF57574D"/>
      <name val="Cambria"/>
      <family val="1"/>
      <scheme val="major"/>
    </font>
    <font>
      <sz val="11"/>
      <color theme="1" tint="0.34998626667073579"/>
      <name val="Lucida Sans"/>
      <family val="2"/>
      <scheme val="minor"/>
    </font>
  </fonts>
  <fills count="13">
    <fill>
      <patternFill patternType="none"/>
    </fill>
    <fill>
      <patternFill patternType="gray125"/>
    </fill>
    <fill>
      <patternFill patternType="solid">
        <fgColor theme="3" tint="0.24994659260841701"/>
        <bgColor indexed="64"/>
      </patternFill>
    </fill>
    <fill>
      <patternFill patternType="solid">
        <fgColor theme="3" tint="0.749961851863155"/>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01"/>
      </bottom>
      <diagonal/>
    </border>
    <border>
      <left/>
      <right/>
      <top/>
      <bottom style="medium">
        <color theme="3" tint="0.2499465926084170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dashed">
        <color theme="3" tint="0.24994659260841701"/>
      </bottom>
      <diagonal/>
    </border>
    <border>
      <left/>
      <right/>
      <top style="thin">
        <color theme="4" tint="-0.499984740745262"/>
      </top>
      <bottom style="double">
        <color theme="4" tint="-0.499984740745262"/>
      </bottom>
      <diagonal/>
    </border>
    <border>
      <left/>
      <right/>
      <top style="dashed">
        <color theme="3" tint="0.24994659260841701"/>
      </top>
      <bottom/>
      <diagonal/>
    </border>
    <border>
      <left style="thin">
        <color auto="1"/>
      </left>
      <right style="thin">
        <color auto="1"/>
      </right>
      <top/>
      <bottom/>
      <diagonal/>
    </border>
    <border>
      <left/>
      <right/>
      <top style="medium">
        <color theme="3" tint="0.24994659260841701"/>
      </top>
      <bottom style="hair">
        <color indexed="64"/>
      </bottom>
      <diagonal/>
    </border>
    <border>
      <left/>
      <right/>
      <top style="thin">
        <color theme="3" tint="0.24994659260841701"/>
      </top>
      <bottom/>
      <diagonal/>
    </border>
    <border>
      <left/>
      <right/>
      <top style="thin">
        <color theme="3" tint="0.24994659260841701"/>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right/>
      <top style="dashed">
        <color theme="3" tint="0.24994659260841701"/>
      </top>
      <bottom style="dashed">
        <color theme="3" tint="0.24994659260841701"/>
      </bottom>
      <diagonal/>
    </border>
  </borders>
  <cellStyleXfs count="17">
    <xf numFmtId="0" fontId="0" fillId="5" borderId="0">
      <alignment vertical="center" wrapText="1"/>
    </xf>
    <xf numFmtId="0" fontId="9" fillId="2" borderId="0" applyNumberFormat="0" applyProtection="0">
      <alignment vertical="center"/>
    </xf>
    <xf numFmtId="0" fontId="1" fillId="2" borderId="0" applyNumberFormat="0" applyFill="0" applyProtection="0">
      <alignment horizontal="left" vertical="center"/>
    </xf>
    <xf numFmtId="0" fontId="2" fillId="0" borderId="1" applyNumberFormat="0" applyFill="0" applyProtection="0"/>
    <xf numFmtId="0" fontId="3" fillId="0" borderId="4" applyNumberFormat="0" applyFill="0" applyProtection="0">
      <alignment vertical="center"/>
    </xf>
    <xf numFmtId="0" fontId="4" fillId="8" borderId="2" applyNumberFormat="0" applyProtection="0">
      <alignment horizontal="left"/>
    </xf>
    <xf numFmtId="0" fontId="5" fillId="5" borderId="0" applyNumberFormat="0" applyBorder="0" applyAlignment="0" applyProtection="0"/>
    <xf numFmtId="43" fontId="7" fillId="0" borderId="0" applyFill="0" applyBorder="0" applyAlignment="0" applyProtection="0"/>
    <xf numFmtId="165" fontId="7" fillId="0" borderId="0" applyFill="0" applyBorder="0" applyAlignment="0" applyProtection="0"/>
    <xf numFmtId="166" fontId="7" fillId="0" borderId="0" applyFill="0" applyBorder="0" applyAlignment="0" applyProtection="0"/>
    <xf numFmtId="164" fontId="7" fillId="0" borderId="0" applyFill="0" applyBorder="0" applyAlignment="0" applyProtection="0"/>
    <xf numFmtId="9" fontId="7" fillId="0" borderId="0" applyFill="0" applyBorder="0" applyAlignment="0" applyProtection="0"/>
    <xf numFmtId="0" fontId="7" fillId="9" borderId="3" applyNumberFormat="0" applyAlignment="0" applyProtection="0"/>
    <xf numFmtId="0" fontId="8" fillId="0" borderId="0" applyNumberFormat="0" applyFill="0" applyBorder="0" applyAlignment="0" applyProtection="0"/>
    <xf numFmtId="0" fontId="6" fillId="0" borderId="5" applyNumberFormat="0" applyFill="0" applyAlignment="0" applyProtection="0"/>
    <xf numFmtId="0" fontId="12" fillId="2" borderId="7" applyNumberFormat="0" applyProtection="0">
      <alignment horizontal="center" vertical="center" wrapText="1"/>
    </xf>
    <xf numFmtId="0" fontId="14" fillId="2" borderId="7" applyNumberFormat="0" applyProtection="0">
      <alignment horizontal="center" vertical="center" wrapText="1"/>
    </xf>
  </cellStyleXfs>
  <cellXfs count="102">
    <xf numFmtId="0" fontId="0" fillId="5" borderId="0" xfId="0">
      <alignment vertical="center" wrapText="1"/>
    </xf>
    <xf numFmtId="0" fontId="10" fillId="5" borderId="0" xfId="0" applyFont="1" applyAlignment="1">
      <alignment horizontal="left" vertical="top" wrapText="1" indent="1"/>
    </xf>
    <xf numFmtId="0" fontId="7" fillId="5" borderId="0" xfId="0" applyFont="1">
      <alignment vertical="center" wrapText="1"/>
    </xf>
    <xf numFmtId="0" fontId="17" fillId="5" borderId="0" xfId="0" applyFont="1">
      <alignment vertical="center" wrapText="1"/>
    </xf>
    <xf numFmtId="0" fontId="21" fillId="5" borderId="0" xfId="0" applyFont="1">
      <alignment vertical="center" wrapText="1"/>
    </xf>
    <xf numFmtId="0" fontId="22" fillId="5" borderId="0" xfId="0" applyFont="1">
      <alignment vertical="center" wrapText="1"/>
    </xf>
    <xf numFmtId="0" fontId="7" fillId="12" borderId="0" xfId="0" applyFont="1" applyFill="1">
      <alignment vertical="center" wrapText="1"/>
    </xf>
    <xf numFmtId="0" fontId="7" fillId="6" borderId="0" xfId="0" applyFont="1" applyFill="1">
      <alignment vertical="center" wrapText="1"/>
    </xf>
    <xf numFmtId="0" fontId="7" fillId="7" borderId="0" xfId="0" applyFont="1" applyFill="1">
      <alignment vertical="center" wrapText="1"/>
    </xf>
    <xf numFmtId="0" fontId="23" fillId="10" borderId="0" xfId="0" applyFont="1" applyFill="1" applyAlignment="1">
      <alignment horizontal="left" vertical="center" indent="1"/>
    </xf>
    <xf numFmtId="0" fontId="23" fillId="11" borderId="0" xfId="0" applyFont="1" applyFill="1" applyAlignment="1">
      <alignment horizontal="left" vertical="center" indent="1"/>
    </xf>
    <xf numFmtId="0" fontId="23" fillId="2" borderId="0" xfId="0" applyFont="1" applyFill="1" applyAlignment="1">
      <alignment horizontal="left" vertical="center" indent="1"/>
    </xf>
    <xf numFmtId="0" fontId="16" fillId="5" borderId="0" xfId="6" applyFont="1" applyBorder="1"/>
    <xf numFmtId="0" fontId="19" fillId="2" borderId="10" xfId="1" applyFont="1" applyBorder="1">
      <alignment vertical="center"/>
    </xf>
    <xf numFmtId="0" fontId="15" fillId="4" borderId="4" xfId="4" applyNumberFormat="1" applyFont="1" applyFill="1" applyAlignment="1">
      <alignment horizontal="left" vertical="center" indent="1"/>
    </xf>
    <xf numFmtId="0" fontId="15" fillId="4" borderId="4" xfId="4" applyFont="1" applyFill="1" applyAlignment="1">
      <alignment horizontal="left" vertical="center" indent="1"/>
    </xf>
    <xf numFmtId="0" fontId="18" fillId="2" borderId="10" xfId="1" applyFont="1" applyBorder="1">
      <alignment vertical="center"/>
    </xf>
    <xf numFmtId="0" fontId="19" fillId="2" borderId="11" xfId="1" applyFont="1" applyBorder="1">
      <alignment vertical="center"/>
    </xf>
    <xf numFmtId="0" fontId="18" fillId="2" borderId="11" xfId="1" applyFont="1" applyBorder="1">
      <alignment vertical="center"/>
    </xf>
    <xf numFmtId="0" fontId="28" fillId="5" borderId="0" xfId="0" applyFont="1" applyAlignment="1">
      <alignment horizontal="left" vertical="center" wrapText="1" indent="1"/>
    </xf>
    <xf numFmtId="167" fontId="26" fillId="5" borderId="0" xfId="2" applyNumberFormat="1" applyFont="1" applyFill="1" applyAlignment="1">
      <alignment horizontal="center" vertical="center"/>
    </xf>
    <xf numFmtId="0" fontId="27" fillId="5" borderId="0" xfId="0" applyFont="1" applyAlignment="1">
      <alignment horizontal="left" vertical="center" wrapText="1" indent="1"/>
    </xf>
    <xf numFmtId="0" fontId="21" fillId="5" borderId="0" xfId="0" applyFont="1" applyAlignment="1">
      <alignment horizontal="left" vertical="center" wrapText="1" indent="1"/>
    </xf>
    <xf numFmtId="0" fontId="27" fillId="5" borderId="0" xfId="0" applyFont="1">
      <alignment vertical="center" wrapText="1"/>
    </xf>
    <xf numFmtId="0" fontId="30" fillId="5" borderId="0" xfId="0" applyFont="1" applyAlignment="1">
      <alignment horizontal="left" vertical="center" wrapText="1"/>
    </xf>
    <xf numFmtId="0" fontId="30" fillId="5" borderId="0" xfId="0" applyFont="1">
      <alignment vertical="center" wrapText="1"/>
    </xf>
    <xf numFmtId="0" fontId="30" fillId="6" borderId="0" xfId="0" applyFont="1" applyFill="1" applyAlignment="1">
      <alignment horizontal="left" vertical="top" wrapText="1" indent="1"/>
    </xf>
    <xf numFmtId="0" fontId="30" fillId="7" borderId="0" xfId="0" applyFont="1" applyFill="1" applyAlignment="1">
      <alignment horizontal="left" vertical="top" wrapText="1" indent="1"/>
    </xf>
    <xf numFmtId="0" fontId="30" fillId="3" borderId="0" xfId="0" applyFont="1" applyFill="1" applyAlignment="1">
      <alignment horizontal="left" vertical="top" wrapText="1" indent="1"/>
    </xf>
    <xf numFmtId="0" fontId="11" fillId="4" borderId="0" xfId="0" applyFont="1" applyFill="1" applyAlignment="1">
      <alignment horizontal="center" vertical="center" wrapText="1"/>
    </xf>
    <xf numFmtId="0" fontId="24" fillId="2" borderId="11" xfId="1" applyFont="1" applyBorder="1">
      <alignment vertical="center"/>
    </xf>
    <xf numFmtId="0" fontId="24" fillId="2" borderId="10" xfId="1" applyFont="1" applyBorder="1">
      <alignment vertical="center"/>
    </xf>
    <xf numFmtId="0" fontId="13" fillId="5" borderId="0" xfId="0" applyFont="1" applyAlignment="1">
      <alignment horizontal="left" vertical="center" wrapText="1"/>
    </xf>
    <xf numFmtId="167" fontId="25" fillId="5" borderId="0" xfId="2" applyNumberFormat="1" applyFont="1" applyFill="1">
      <alignment horizontal="left" vertical="center"/>
    </xf>
    <xf numFmtId="0" fontId="38" fillId="5" borderId="0" xfId="0" applyFont="1">
      <alignment vertical="center" wrapText="1"/>
    </xf>
    <xf numFmtId="168" fontId="38" fillId="5" borderId="0" xfId="0" applyNumberFormat="1" applyFont="1">
      <alignment vertical="center" wrapText="1"/>
    </xf>
    <xf numFmtId="168" fontId="30" fillId="5" borderId="0" xfId="0" applyNumberFormat="1" applyFont="1">
      <alignment vertical="center" wrapText="1"/>
    </xf>
    <xf numFmtId="167" fontId="30" fillId="5" borderId="0" xfId="0" applyNumberFormat="1" applyFont="1">
      <alignment vertical="center" wrapText="1"/>
    </xf>
    <xf numFmtId="0" fontId="40" fillId="5" borderId="0" xfId="0" applyFont="1">
      <alignment vertical="center" wrapText="1"/>
    </xf>
    <xf numFmtId="0" fontId="41" fillId="5" borderId="0" xfId="0" applyFont="1">
      <alignment vertical="center" wrapText="1"/>
    </xf>
    <xf numFmtId="0" fontId="36" fillId="5" borderId="0" xfId="0" applyFont="1">
      <alignment vertical="center" wrapText="1"/>
    </xf>
    <xf numFmtId="0" fontId="27" fillId="5" borderId="0" xfId="0" applyFont="1" applyAlignment="1">
      <alignment vertical="center"/>
    </xf>
    <xf numFmtId="0" fontId="37" fillId="5" borderId="0" xfId="0" applyFont="1">
      <alignment vertical="center" wrapText="1"/>
    </xf>
    <xf numFmtId="7" fontId="38" fillId="5" borderId="0" xfId="0" applyNumberFormat="1" applyFont="1" applyAlignment="1">
      <alignment horizontal="right" vertical="center" wrapText="1" indent="1"/>
    </xf>
    <xf numFmtId="0" fontId="43" fillId="5" borderId="0" xfId="0" applyFont="1" applyAlignment="1">
      <alignment horizontal="left" vertical="center" wrapText="1"/>
    </xf>
    <xf numFmtId="167" fontId="35" fillId="5" borderId="0" xfId="2" applyNumberFormat="1" applyFont="1" applyFill="1">
      <alignment horizontal="left" vertical="center"/>
    </xf>
    <xf numFmtId="0" fontId="39" fillId="5" borderId="0" xfId="0" applyFont="1">
      <alignment vertical="center" wrapText="1"/>
    </xf>
    <xf numFmtId="168" fontId="30" fillId="8" borderId="6" xfId="0" applyNumberFormat="1" applyFont="1" applyFill="1" applyBorder="1" applyAlignment="1">
      <alignment horizontal="left" vertical="center" indent="1"/>
    </xf>
    <xf numFmtId="7" fontId="30" fillId="8" borderId="0" xfId="0" applyNumberFormat="1" applyFont="1" applyFill="1" applyAlignment="1">
      <alignment vertical="center"/>
    </xf>
    <xf numFmtId="168" fontId="30" fillId="8" borderId="0" xfId="0" applyNumberFormat="1" applyFont="1" applyFill="1" applyAlignment="1">
      <alignment horizontal="left" vertical="center" indent="1"/>
    </xf>
    <xf numFmtId="168" fontId="36" fillId="5" borderId="2" xfId="5" applyNumberFormat="1" applyFont="1" applyFill="1" applyAlignment="1">
      <alignment horizontal="left" vertical="center"/>
    </xf>
    <xf numFmtId="168" fontId="38" fillId="5" borderId="0" xfId="0" applyNumberFormat="1" applyFont="1" applyAlignment="1">
      <alignment horizontal="left" vertical="center"/>
    </xf>
    <xf numFmtId="168" fontId="42" fillId="5" borderId="2" xfId="5" applyNumberFormat="1" applyFont="1" applyFill="1" applyAlignment="1">
      <alignment horizontal="left" vertical="center"/>
    </xf>
    <xf numFmtId="0" fontId="41" fillId="5" borderId="0" xfId="0" applyFont="1" applyAlignment="1">
      <alignment vertical="center"/>
    </xf>
    <xf numFmtId="168" fontId="41" fillId="8" borderId="0" xfId="0" applyNumberFormat="1" applyFont="1" applyFill="1" applyAlignment="1">
      <alignment horizontal="left" vertical="center" indent="1"/>
    </xf>
    <xf numFmtId="0" fontId="41" fillId="8" borderId="8" xfId="0" applyFont="1" applyFill="1" applyBorder="1" applyAlignment="1">
      <alignment horizontal="right" vertical="center"/>
    </xf>
    <xf numFmtId="0" fontId="39" fillId="6" borderId="0" xfId="0" applyFont="1" applyFill="1" applyAlignment="1">
      <alignment horizontal="left" vertical="top" wrapText="1" indent="1"/>
    </xf>
    <xf numFmtId="0" fontId="39" fillId="7" borderId="0" xfId="0" applyFont="1" applyFill="1" applyAlignment="1">
      <alignment horizontal="left" vertical="top" wrapText="1" indent="1"/>
    </xf>
    <xf numFmtId="0" fontId="39" fillId="3" borderId="0" xfId="0" applyFont="1" applyFill="1" applyAlignment="1">
      <alignment horizontal="left" vertical="top" wrapText="1" indent="1"/>
    </xf>
    <xf numFmtId="0" fontId="44" fillId="5" borderId="0" xfId="0" applyFont="1">
      <alignment vertical="center" wrapText="1"/>
    </xf>
    <xf numFmtId="7" fontId="30" fillId="5" borderId="0" xfId="0" applyNumberFormat="1" applyFont="1" applyAlignment="1">
      <alignment horizontal="right" vertical="center" wrapText="1" indent="1"/>
    </xf>
    <xf numFmtId="43" fontId="30" fillId="5" borderId="0" xfId="7" applyFont="1" applyFill="1" applyBorder="1" applyAlignment="1">
      <alignment horizontal="left" vertical="center"/>
    </xf>
    <xf numFmtId="168" fontId="41" fillId="5" borderId="0" xfId="0" applyNumberFormat="1" applyFont="1" applyAlignment="1">
      <alignment vertical="center"/>
    </xf>
    <xf numFmtId="0" fontId="13" fillId="5" borderId="0" xfId="0" applyFont="1">
      <alignment vertical="center" wrapText="1"/>
    </xf>
    <xf numFmtId="167" fontId="25" fillId="5" borderId="0" xfId="2" applyNumberFormat="1" applyFont="1" applyFill="1" applyAlignment="1">
      <alignment horizontal="center" vertical="center"/>
    </xf>
    <xf numFmtId="0" fontId="33" fillId="5" borderId="9" xfId="0" applyFont="1" applyBorder="1" applyAlignment="1">
      <alignment horizontal="left" vertical="center" indent="4"/>
    </xf>
    <xf numFmtId="0" fontId="41" fillId="5" borderId="0" xfId="0" applyFont="1" applyAlignment="1">
      <alignment horizontal="right" vertical="center" indent="1"/>
    </xf>
    <xf numFmtId="0" fontId="39" fillId="5" borderId="0" xfId="0" applyFont="1" applyAlignment="1">
      <alignment vertical="top" wrapText="1"/>
    </xf>
    <xf numFmtId="168" fontId="30" fillId="5" borderId="0" xfId="0" applyNumberFormat="1" applyFont="1" applyAlignment="1">
      <alignment vertical="center"/>
    </xf>
    <xf numFmtId="7" fontId="30" fillId="5" borderId="0" xfId="0" applyNumberFormat="1" applyFont="1" applyAlignment="1">
      <alignment horizontal="right" vertical="center" indent="1"/>
    </xf>
    <xf numFmtId="0" fontId="9" fillId="2" borderId="11" xfId="1" applyBorder="1">
      <alignment vertical="center"/>
    </xf>
    <xf numFmtId="0" fontId="9" fillId="2" borderId="10" xfId="1" applyBorder="1">
      <alignment vertical="center"/>
    </xf>
    <xf numFmtId="0" fontId="43" fillId="5" borderId="0" xfId="0" applyFont="1">
      <alignment vertical="center" wrapText="1"/>
    </xf>
    <xf numFmtId="167" fontId="35" fillId="5" borderId="0" xfId="2" applyNumberFormat="1" applyFont="1" applyFill="1" applyAlignment="1">
      <alignment horizontal="center" vertical="center"/>
    </xf>
    <xf numFmtId="0" fontId="10" fillId="5" borderId="0" xfId="0" applyFont="1">
      <alignment vertical="center" wrapText="1"/>
    </xf>
    <xf numFmtId="0" fontId="34" fillId="5" borderId="0" xfId="0" applyFont="1" applyAlignment="1">
      <alignment horizontal="right" vertical="center" wrapText="1" indent="2"/>
    </xf>
    <xf numFmtId="167" fontId="1" fillId="5" borderId="0" xfId="2" applyNumberFormat="1" applyFill="1" applyAlignment="1">
      <alignment horizontal="center" vertical="center"/>
    </xf>
    <xf numFmtId="168" fontId="41" fillId="5" borderId="2" xfId="3" applyNumberFormat="1" applyFont="1" applyFill="1" applyBorder="1" applyAlignment="1">
      <alignment vertical="center"/>
    </xf>
    <xf numFmtId="0" fontId="41" fillId="5" borderId="2" xfId="0" applyFont="1" applyBorder="1">
      <alignment vertical="center" wrapText="1"/>
    </xf>
    <xf numFmtId="0" fontId="0" fillId="5" borderId="0" xfId="0" pivotButton="1">
      <alignment vertical="center" wrapText="1"/>
    </xf>
    <xf numFmtId="0" fontId="15" fillId="4" borderId="12" xfId="4" applyNumberFormat="1" applyFont="1" applyFill="1" applyBorder="1" applyAlignment="1">
      <alignment horizontal="left" vertical="center" indent="1"/>
    </xf>
    <xf numFmtId="0" fontId="15" fillId="4" borderId="12" xfId="4" applyFont="1" applyFill="1" applyBorder="1">
      <alignment vertical="center"/>
    </xf>
    <xf numFmtId="167" fontId="41" fillId="5" borderId="0" xfId="0" applyNumberFormat="1" applyFont="1" applyAlignment="1">
      <alignment horizontal="right" vertical="center" indent="1"/>
    </xf>
    <xf numFmtId="0" fontId="30" fillId="5" borderId="0" xfId="0" applyFont="1" applyAlignment="1">
      <alignment horizontal="center"/>
    </xf>
    <xf numFmtId="0" fontId="11" fillId="4" borderId="6" xfId="0" applyFont="1" applyFill="1" applyBorder="1" applyAlignment="1">
      <alignment horizontal="center" vertical="center" wrapText="1"/>
    </xf>
    <xf numFmtId="0" fontId="32" fillId="5" borderId="0" xfId="0" applyFont="1" applyAlignment="1">
      <alignment horizontal="right" vertical="center" indent="2"/>
    </xf>
    <xf numFmtId="0" fontId="32" fillId="5" borderId="0" xfId="0" applyFont="1" applyAlignment="1">
      <alignment horizontal="right" vertical="center" indent="1"/>
    </xf>
    <xf numFmtId="0" fontId="32" fillId="5" borderId="0" xfId="0" applyFont="1" applyAlignment="1">
      <alignment horizontal="right" vertical="center"/>
    </xf>
    <xf numFmtId="0" fontId="0" fillId="5" borderId="0" xfId="0" applyAlignment="1">
      <alignment horizontal="left" vertical="center" wrapText="1"/>
    </xf>
    <xf numFmtId="169" fontId="0" fillId="5" borderId="0" xfId="0" applyNumberFormat="1">
      <alignment vertical="center" wrapText="1"/>
    </xf>
    <xf numFmtId="5" fontId="0" fillId="5" borderId="0" xfId="0" applyNumberFormat="1">
      <alignment vertical="center" wrapText="1"/>
    </xf>
    <xf numFmtId="0" fontId="33" fillId="5" borderId="0" xfId="0" applyFont="1" applyAlignment="1">
      <alignment horizontal="left" vertical="center" wrapText="1"/>
    </xf>
    <xf numFmtId="0" fontId="33" fillId="5" borderId="9" xfId="0" applyFont="1" applyBorder="1" applyAlignment="1">
      <alignment horizontal="left" vertical="center" wrapText="1"/>
    </xf>
    <xf numFmtId="0" fontId="33" fillId="5" borderId="9" xfId="0" applyFont="1" applyBorder="1" applyAlignment="1">
      <alignment horizontal="left" vertical="center"/>
    </xf>
    <xf numFmtId="167" fontId="29" fillId="5" borderId="9" xfId="2" applyNumberFormat="1" applyFont="1" applyFill="1" applyBorder="1" applyAlignment="1">
      <alignment horizontal="left" vertical="center" indent="1"/>
    </xf>
    <xf numFmtId="0" fontId="20" fillId="4" borderId="2" xfId="3" applyFont="1" applyFill="1" applyBorder="1" applyAlignment="1">
      <alignment horizontal="left" vertical="center" indent="1"/>
    </xf>
    <xf numFmtId="167" fontId="15" fillId="4" borderId="12" xfId="4" applyNumberFormat="1" applyFont="1" applyFill="1" applyBorder="1" applyAlignment="1">
      <alignment horizontal="right" vertical="center"/>
    </xf>
    <xf numFmtId="167" fontId="15" fillId="4" borderId="4" xfId="4" applyNumberFormat="1" applyFont="1" applyFill="1" applyAlignment="1">
      <alignment horizontal="right" vertical="center"/>
    </xf>
    <xf numFmtId="7" fontId="15" fillId="4" borderId="12" xfId="4" applyNumberFormat="1" applyFont="1" applyFill="1" applyBorder="1" applyAlignment="1">
      <alignment horizontal="right" vertical="center"/>
    </xf>
    <xf numFmtId="7" fontId="15" fillId="4" borderId="4" xfId="4" applyNumberFormat="1" applyFont="1" applyFill="1" applyAlignment="1">
      <alignment horizontal="right" vertical="center"/>
    </xf>
    <xf numFmtId="0" fontId="31" fillId="5" borderId="0" xfId="6" applyFont="1" applyBorder="1" applyAlignment="1"/>
    <xf numFmtId="167" fontId="29" fillId="5" borderId="0" xfId="2" applyNumberFormat="1" applyFont="1" applyFill="1" applyAlignment="1">
      <alignment horizontal="left" vertical="center"/>
    </xf>
  </cellXfs>
  <cellStyles count="17">
    <cellStyle name="Comma" xfId="7" builtinId="3" customBuiltin="1"/>
    <cellStyle name="Comma [0]" xfId="8" builtinId="6" customBuiltin="1"/>
    <cellStyle name="Currency" xfId="9" builtinId="4" customBuiltin="1"/>
    <cellStyle name="Currency [0]" xfId="10" builtinId="7" customBuiltin="1"/>
    <cellStyle name="Explanatory Text" xfId="13" builtinId="53" customBuiltin="1"/>
    <cellStyle name="Followed Hyperlink" xfId="16" builtinId="9" customBuiltin="1"/>
    <cellStyle name="Heading 1" xfId="1" builtinId="16" customBuiltin="1"/>
    <cellStyle name="Heading 2" xfId="2" builtinId="17" customBuiltin="1"/>
    <cellStyle name="Heading 3" xfId="3" builtinId="18" customBuiltin="1"/>
    <cellStyle name="Heading 4" xfId="4" builtinId="19" customBuiltin="1"/>
    <cellStyle name="Heading 5" xfId="5" xr:uid="{00000000-0005-0000-0000-00000A000000}"/>
    <cellStyle name="Hyperlink" xfId="15" builtinId="8" customBuiltin="1"/>
    <cellStyle name="Normal" xfId="0" builtinId="0" customBuiltin="1"/>
    <cellStyle name="Note" xfId="12" builtinId="10" customBuiltin="1"/>
    <cellStyle name="Percent" xfId="11" builtinId="5" customBuiltin="1"/>
    <cellStyle name="Title" xfId="6" builtinId="15" customBuiltin="1"/>
    <cellStyle name="Total" xfId="14" builtinId="25" customBuiltin="1"/>
  </cellStyles>
  <dxfs count="113">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0" indent="1" justifyLastLine="0" shrinkToFit="0" readingOrder="0"/>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0" indent="1" justifyLastLine="0" shrinkToFit="0" readingOrder="0"/>
    </dxf>
    <dxf>
      <font>
        <strike val="0"/>
        <outline val="0"/>
        <shadow val="0"/>
        <u val="none"/>
        <vertAlign val="baseline"/>
        <sz val="11"/>
        <color theme="1" tint="0.249977111117893"/>
        <name val="Lucida Sans"/>
        <scheme val="minor"/>
      </font>
      <numFmt numFmtId="168" formatCode="_)@"/>
    </dxf>
    <dxf>
      <font>
        <b val="0"/>
        <i val="0"/>
        <strike val="0"/>
        <condense val="0"/>
        <extend val="0"/>
        <outline val="0"/>
        <shadow val="0"/>
        <u val="none"/>
        <vertAlign val="baseline"/>
        <sz val="11"/>
        <color theme="1" tint="0.249977111117893"/>
        <name val="Lucida Sans"/>
        <family val="2"/>
        <scheme val="minor"/>
      </font>
      <numFmt numFmtId="168" formatCode="_)@"/>
      <alignment horizontal="general" vertical="center" textRotation="0" wrapText="0" indent="0" justifyLastLine="0" shrinkToFit="0" readingOrder="0"/>
    </dxf>
    <dxf>
      <font>
        <strike val="0"/>
        <outline val="0"/>
        <shadow val="0"/>
        <u val="none"/>
        <vertAlign val="baseline"/>
        <sz val="11"/>
        <color theme="1" tint="0.249977111117893"/>
        <name val="Lucida Sans"/>
        <scheme val="minor"/>
      </font>
    </dxf>
    <dxf>
      <font>
        <strike val="0"/>
        <outline val="0"/>
        <shadow val="0"/>
        <u val="none"/>
        <vertAlign val="baseline"/>
        <sz val="11"/>
        <color theme="1" tint="0.249977111117893"/>
        <name val="Lucida Sans"/>
        <scheme val="minor"/>
      </font>
    </dxf>
    <dxf>
      <font>
        <strike val="0"/>
        <outline val="0"/>
        <shadow val="0"/>
        <u val="none"/>
        <vertAlign val="baseline"/>
        <sz val="14"/>
        <color theme="1" tint="0.249977111117893"/>
        <name val="Cambria"/>
        <scheme val="major"/>
      </font>
      <alignment vertical="center" textRotation="0" indent="0" justifyLastLine="0" shrinkToFit="0" readingOrder="0"/>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0" indent="1" justifyLastLine="0" shrinkToFit="0" readingOrder="0"/>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0" indent="1" justifyLastLine="0" shrinkToFit="0" readingOrder="0"/>
    </dxf>
    <dxf>
      <font>
        <strike val="0"/>
        <outline val="0"/>
        <shadow val="0"/>
        <u val="none"/>
        <vertAlign val="baseline"/>
        <sz val="11"/>
        <color theme="1" tint="0.249977111117893"/>
        <name val="Lucida Sans"/>
        <scheme val="minor"/>
      </font>
      <numFmt numFmtId="168" formatCode="_)@"/>
    </dxf>
    <dxf>
      <font>
        <b val="0"/>
        <i val="0"/>
        <strike val="0"/>
        <condense val="0"/>
        <extend val="0"/>
        <outline val="0"/>
        <shadow val="0"/>
        <u val="none"/>
        <vertAlign val="baseline"/>
        <sz val="11"/>
        <color theme="1" tint="0.249977111117893"/>
        <name val="Lucida Sans"/>
        <family val="2"/>
        <scheme val="minor"/>
      </font>
      <numFmt numFmtId="168" formatCode="_)@"/>
      <alignment horizontal="general" vertical="center" textRotation="0" wrapText="0" indent="0" justifyLastLine="0" shrinkToFit="0" readingOrder="0"/>
    </dxf>
    <dxf>
      <font>
        <strike val="0"/>
        <outline val="0"/>
        <shadow val="0"/>
        <u val="none"/>
        <vertAlign val="baseline"/>
        <sz val="11"/>
        <color theme="1" tint="0.249977111117893"/>
        <name val="Lucida Sans"/>
        <scheme val="minor"/>
      </font>
    </dxf>
    <dxf>
      <font>
        <strike val="0"/>
        <outline val="0"/>
        <shadow val="0"/>
        <u val="none"/>
        <vertAlign val="baseline"/>
        <sz val="11"/>
        <color theme="1" tint="0.249977111117893"/>
        <name val="Lucida Sans"/>
        <scheme val="minor"/>
      </font>
    </dxf>
    <dxf>
      <font>
        <strike val="0"/>
        <outline val="0"/>
        <shadow val="0"/>
        <u val="none"/>
        <vertAlign val="baseline"/>
        <sz val="14"/>
        <color theme="1" tint="0.249977111117893"/>
        <name val="Cambria"/>
        <scheme val="major"/>
      </font>
      <alignment vertical="center" textRotation="0" indent="0" justifyLastLine="0" shrinkToFit="0" readingOrder="0"/>
    </dxf>
    <dxf>
      <font>
        <color theme="1" tint="0.249977111117893"/>
      </font>
      <numFmt numFmtId="11" formatCode="&quot;$&quot;#,##0.00_);\(&quot;$&quot;#,##0.00\)"/>
      <fill>
        <patternFill patternType="solid">
          <fgColor indexed="64"/>
          <bgColor theme="2"/>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0" indent="1" justifyLastLine="0" shrinkToFit="0" readingOrder="0"/>
    </dxf>
    <dxf>
      <font>
        <color theme="1" tint="0.249977111117893"/>
      </font>
      <numFmt numFmtId="11" formatCode="&quot;$&quot;#,##0.00_);\(&quot;$&quot;#,##0.00\)"/>
      <fill>
        <patternFill patternType="solid">
          <fgColor indexed="64"/>
          <bgColor theme="2"/>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68" formatCode="_)@"/>
      <alignment horizontal="general" vertical="center" textRotation="0" wrapText="0" indent="0" justifyLastLine="0" shrinkToFit="0" readingOrder="0"/>
    </dxf>
    <dxf>
      <font>
        <strike val="0"/>
        <outline val="0"/>
        <shadow val="0"/>
        <u val="none"/>
        <vertAlign val="baseline"/>
        <color theme="1" tint="0.249977111117893"/>
      </font>
    </dxf>
    <dxf>
      <font>
        <strike val="0"/>
        <outline val="0"/>
        <shadow val="0"/>
        <u val="none"/>
        <vertAlign val="baseline"/>
        <color theme="1" tint="0.249977111117893"/>
      </font>
    </dxf>
    <dxf>
      <font>
        <strike val="0"/>
        <outline val="0"/>
        <shadow val="0"/>
        <u val="none"/>
        <vertAlign val="baseline"/>
        <sz val="14"/>
        <color theme="1" tint="0.249977111117893"/>
        <name val="Cambria"/>
        <scheme val="major"/>
      </font>
      <alignment vertical="center" textRotation="0" indent="0" justifyLastLine="0" shrinkToFit="0" readingOrder="0"/>
    </dxf>
    <dxf>
      <font>
        <strike val="0"/>
        <outline val="0"/>
        <shadow val="0"/>
        <u val="none"/>
        <vertAlign val="baseline"/>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color theme="1" tint="0.249977111117893"/>
        <name val="Lucida Sans"/>
        <scheme val="minor"/>
      </font>
      <numFmt numFmtId="168" formatCode="_)@"/>
    </dxf>
    <dxf>
      <font>
        <b val="0"/>
        <i val="0"/>
        <strike val="0"/>
        <condense val="0"/>
        <extend val="0"/>
        <outline val="0"/>
        <shadow val="0"/>
        <u val="none"/>
        <vertAlign val="baseline"/>
        <sz val="11"/>
        <color theme="1" tint="0.249977111117893"/>
        <name val="Lucida Sans"/>
        <scheme val="minor"/>
      </font>
      <numFmt numFmtId="168" formatCode="_)@"/>
      <fill>
        <patternFill patternType="solid">
          <fgColor indexed="64"/>
          <bgColor theme="2"/>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dxf>
    <dxf>
      <font>
        <strike val="0"/>
        <outline val="0"/>
        <shadow val="0"/>
        <u val="none"/>
        <vertAlign val="baseline"/>
        <color theme="1" tint="0.249977111117893"/>
        <name val="Lucida Sans"/>
        <scheme val="minor"/>
      </font>
    </dxf>
    <dxf>
      <font>
        <b val="0"/>
        <strike val="0"/>
        <outline val="0"/>
        <shadow val="0"/>
        <u val="none"/>
        <vertAlign val="baseline"/>
        <sz val="14"/>
        <color theme="1" tint="0.249977111117893"/>
        <name val="Cambria"/>
        <scheme val="major"/>
      </font>
      <alignment vertical="center" textRotation="0" indent="0"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dxf>
    <dxf>
      <font>
        <b val="0"/>
        <i val="0"/>
        <strike val="0"/>
        <condense val="0"/>
        <extend val="0"/>
        <outline val="0"/>
        <shadow val="0"/>
        <u val="none"/>
        <vertAlign val="baseline"/>
        <sz val="11"/>
        <color theme="1" tint="0.249977111117893"/>
        <name val="Lucida Sans"/>
        <family val="2"/>
        <scheme val="minor"/>
      </font>
      <numFmt numFmtId="167" formatCode="&quot;$&quot;#,##0.00"/>
    </dxf>
    <dxf>
      <font>
        <strike val="0"/>
        <outline val="0"/>
        <shadow val="0"/>
        <u val="none"/>
        <vertAlign val="baseline"/>
        <sz val="10"/>
        <color theme="1" tint="0.249977111117893"/>
        <name val="Lucida Sans"/>
        <scheme val="minor"/>
      </font>
    </dxf>
    <dxf>
      <font>
        <b val="0"/>
        <i val="0"/>
        <strike val="0"/>
        <condense val="0"/>
        <extend val="0"/>
        <outline val="0"/>
        <shadow val="0"/>
        <u val="none"/>
        <vertAlign val="baseline"/>
        <sz val="11"/>
        <color theme="1" tint="0.249977111117893"/>
        <name val="Lucida Sans"/>
        <family val="2"/>
        <scheme val="minor"/>
      </font>
      <numFmt numFmtId="168" formatCode="_)@"/>
    </dxf>
    <dxf>
      <border>
        <bottom style="medium">
          <color theme="3" tint="0.24994659260841701"/>
        </bottom>
      </border>
    </dxf>
    <dxf>
      <font>
        <strike val="0"/>
        <outline val="0"/>
        <shadow val="0"/>
        <u val="none"/>
        <vertAlign val="baseline"/>
        <sz val="11"/>
        <color theme="1" tint="0.249977111117893"/>
        <name val="Lucida Sans"/>
        <scheme val="minor"/>
      </font>
    </dxf>
    <dxf>
      <font>
        <strike val="0"/>
        <outline val="0"/>
        <shadow val="0"/>
        <u val="none"/>
        <vertAlign val="baseline"/>
        <color theme="1" tint="0.249977111117893"/>
        <name val="Lucida Sans"/>
        <scheme val="minor"/>
      </font>
    </dxf>
    <dxf>
      <font>
        <b val="0"/>
        <strike val="0"/>
        <outline val="0"/>
        <shadow val="0"/>
        <u val="none"/>
        <vertAlign val="baseline"/>
        <sz val="14"/>
        <color theme="1" tint="0.249977111117893"/>
        <name val="Cambria"/>
        <scheme val="major"/>
      </font>
      <alignment horizontal="general" vertical="center" textRotation="0" indent="0" justifyLastLine="0" shrinkToFit="0" readingOrder="0"/>
    </dxf>
    <dxf>
      <fill>
        <patternFill>
          <bgColor theme="4" tint="0.79998168889431442"/>
        </patternFill>
      </fill>
    </dxf>
    <dxf>
      <fill>
        <patternFill>
          <bgColor theme="4" tint="0.59996337778862885"/>
        </patternFill>
      </fill>
    </dxf>
    <dxf>
      <font>
        <strike val="0"/>
        <outline val="0"/>
        <shadow val="0"/>
        <u val="none"/>
        <vertAlign val="baseline"/>
        <sz val="10"/>
        <color theme="1" tint="0.249977111117893"/>
        <name val="Lucida Sans"/>
        <scheme val="minor"/>
      </font>
      <numFmt numFmtId="11" formatCode="&quot;$&quot;#,##0.00_);\(&quot;$&quot;#,##0.00\)"/>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numFmt numFmtId="11" formatCode="&quot;$&quot;#,##0.00_);\(&quot;$&quot;#,##0.00\)"/>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numFmt numFmtId="11" formatCode="&quot;$&quot;#,##0.00_);\(&quot;$&quot;#,##0.00\)"/>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family val="2"/>
        <scheme val="minor"/>
      </font>
      <numFmt numFmtId="11" formatCode="&quot;$&quot;#,##0.00_);\(&quot;$&quot;#,##0.00\)"/>
      <alignment horizontal="right" vertical="center" textRotation="0" wrapText="1" indent="1" justifyLastLine="0" shrinkToFit="0" readingOrder="0"/>
    </dxf>
    <dxf>
      <font>
        <strike val="0"/>
        <outline val="0"/>
        <shadow val="0"/>
        <u val="none"/>
        <vertAlign val="baseline"/>
        <sz val="10"/>
        <color theme="1" tint="0.249977111117893"/>
        <name val="Lucida Sans"/>
        <scheme val="minor"/>
      </font>
      <alignment vertical="center" textRotation="0" indent="0" justifyLastLine="0" shrinkToFit="0" readingOrder="0"/>
    </dxf>
    <dxf>
      <font>
        <b val="0"/>
        <i val="0"/>
        <strike val="0"/>
        <condense val="0"/>
        <extend val="0"/>
        <outline val="0"/>
        <shadow val="0"/>
        <u val="none"/>
        <vertAlign val="baseline"/>
        <sz val="11"/>
        <color theme="1" tint="0.249977111117893"/>
        <name val="Lucida Sans"/>
        <family val="2"/>
        <scheme val="minor"/>
      </font>
      <numFmt numFmtId="167" formatCode="&quot;$&quot;#,##0.00"/>
    </dxf>
    <dxf>
      <font>
        <strike val="0"/>
        <outline val="0"/>
        <shadow val="0"/>
        <u val="none"/>
        <vertAlign val="baseline"/>
        <sz val="10"/>
        <color theme="1" tint="0.249977111117893"/>
        <name val="Lucida Sans"/>
        <scheme val="minor"/>
      </font>
      <numFmt numFmtId="168" formatCode="_)@"/>
      <alignment horizontal="left" vertical="center" textRotation="0" wrapText="0" indent="0" justifyLastLine="0" shrinkToFit="0" readingOrder="0"/>
    </dxf>
    <dxf>
      <font>
        <b val="0"/>
        <i val="0"/>
        <strike val="0"/>
        <condense val="0"/>
        <extend val="0"/>
        <outline val="0"/>
        <shadow val="0"/>
        <u val="none"/>
        <vertAlign val="baseline"/>
        <sz val="11"/>
        <color theme="1" tint="0.249977111117893"/>
        <name val="Lucida Sans"/>
        <family val="2"/>
        <scheme val="minor"/>
      </font>
      <fill>
        <patternFill patternType="solid">
          <fgColor indexed="64"/>
          <bgColor theme="2"/>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alignment vertical="center" textRotation="0" indent="0" justifyLastLine="0" shrinkToFit="0" readingOrder="0"/>
    </dxf>
    <dxf>
      <font>
        <strike val="0"/>
        <outline val="0"/>
        <shadow val="0"/>
        <u val="none"/>
        <vertAlign val="baseline"/>
        <color theme="1" tint="0.249977111117893"/>
        <name val="Lucida Sans"/>
        <scheme val="minor"/>
      </font>
      <alignment vertical="center" textRotation="0" indent="0" justifyLastLine="0" shrinkToFit="0" readingOrder="0"/>
    </dxf>
    <dxf>
      <font>
        <b val="0"/>
        <strike val="0"/>
        <outline val="0"/>
        <shadow val="0"/>
        <u val="none"/>
        <vertAlign val="baseline"/>
        <sz val="14"/>
        <color theme="1" tint="0.249977111117893"/>
        <name val="Cambria"/>
        <scheme val="major"/>
      </font>
      <alignment vertical="center" textRotation="0" indent="0" justifyLastLine="0" shrinkToFit="0" readingOrder="0"/>
    </dxf>
    <dxf>
      <fill>
        <patternFill>
          <bgColor theme="3" tint="0.749961851863155"/>
        </patternFill>
      </fill>
    </dxf>
    <dxf>
      <fill>
        <patternFill>
          <bgColor theme="3" tint="0.89996032593768116"/>
        </patternFill>
      </fill>
    </dxf>
    <dxf>
      <fill>
        <patternFill>
          <bgColor theme="5" tint="0.79998168889431442"/>
        </patternFill>
      </fill>
    </dxf>
    <dxf>
      <fill>
        <patternFill>
          <bgColor theme="5" tint="0.79998168889431442"/>
        </patternFill>
      </fill>
    </dxf>
    <dxf>
      <fill>
        <patternFill>
          <bgColor theme="2" tint="-0.24994659260841701"/>
        </patternFill>
      </fill>
    </dxf>
    <dxf>
      <fill>
        <patternFill>
          <bgColor theme="2" tint="-9.9948118533890809E-2"/>
        </patternFill>
      </fill>
    </dxf>
    <dxf>
      <fill>
        <patternFill>
          <bgColor theme="4" tint="0.59996337778862885"/>
        </patternFill>
      </fill>
    </dxf>
    <dxf>
      <fill>
        <patternFill>
          <bgColor theme="4" tint="0.59996337778862885"/>
        </patternFill>
      </fill>
    </dxf>
    <dxf>
      <fill>
        <patternFill>
          <bgColor theme="2" tint="-9.9948118533890809E-2"/>
        </patternFill>
      </fill>
    </dxf>
    <dxf>
      <fill>
        <patternFill>
          <bgColor theme="4" tint="0.79998168889431442"/>
        </patternFill>
      </fill>
    </dxf>
    <dxf>
      <fill>
        <patternFill>
          <bgColor theme="5" tint="0.79998168889431442"/>
        </patternFill>
      </fill>
    </dxf>
    <dxf>
      <fill>
        <patternFill>
          <bgColor theme="0"/>
        </patternFill>
      </fill>
    </dxf>
    <dxf>
      <fill>
        <patternFill>
          <bgColor theme="5" tint="0.79998168889431442"/>
        </patternFill>
      </fill>
    </dxf>
    <dxf>
      <fill>
        <patternFill>
          <bgColor theme="0"/>
        </patternFill>
      </fill>
    </dxf>
    <dxf>
      <font>
        <b val="0"/>
        <i val="0"/>
        <color theme="3" tint="9.9948118533890809E-2"/>
      </font>
      <fill>
        <patternFill>
          <bgColor theme="5" tint="0.79998168889431442"/>
        </patternFill>
      </fill>
      <border diagonalUp="0" diagonalDown="0">
        <left/>
        <right/>
        <top/>
        <bottom/>
        <vertical/>
        <horizontal/>
      </border>
    </dxf>
    <dxf>
      <font>
        <b val="0"/>
        <i val="0"/>
        <color theme="3" tint="9.9948118533890809E-2"/>
      </font>
      <fill>
        <patternFill>
          <bgColor theme="0"/>
        </patternFill>
      </fill>
      <border diagonalUp="0" diagonalDown="0">
        <left/>
        <right/>
        <top/>
        <bottom/>
        <vertical/>
        <horizontal/>
      </border>
    </dxf>
    <dxf>
      <font>
        <b val="0"/>
        <i val="0"/>
        <color theme="3" tint="9.9948118533890809E-2"/>
      </font>
      <fill>
        <patternFill>
          <bgColor theme="3" tint="0.89996032593768116"/>
        </patternFill>
      </fill>
      <border diagonalUp="0" diagonalDown="0">
        <left/>
        <right/>
        <top style="medium">
          <color theme="3" tint="0.24994659260841701"/>
        </top>
        <bottom/>
        <vertical/>
        <horizontal/>
      </border>
    </dxf>
    <dxf>
      <font>
        <b val="0"/>
        <i val="0"/>
        <color theme="3" tint="9.9948118533890809E-2"/>
      </font>
      <fill>
        <patternFill patternType="solid">
          <fgColor theme="3" tint="0.89996032593768116"/>
          <bgColor theme="3" tint="0.89992980742820516"/>
        </patternFill>
      </fill>
      <border diagonalUp="0" diagonalDown="0">
        <left/>
        <right/>
        <top/>
        <bottom style="medium">
          <color theme="3" tint="0.24994659260841701"/>
        </bottom>
        <vertical/>
        <horizontal/>
      </border>
    </dxf>
    <dxf>
      <font>
        <b val="0"/>
        <i val="0"/>
        <color theme="3" tint="9.9948118533890809E-2"/>
      </font>
      <fill>
        <patternFill>
          <bgColor theme="3" tint="0.89996032593768116"/>
        </patternFill>
      </fill>
      <border diagonalUp="0" diagonalDown="0">
        <left/>
        <right/>
        <top/>
        <bottom/>
        <vertical/>
        <horizontal/>
      </border>
    </dxf>
    <dxf>
      <font>
        <color theme="3" tint="9.9948118533890809E-2"/>
      </font>
      <fill>
        <patternFill>
          <fgColor theme="0" tint="-4.9989318521683403E-2"/>
          <bgColor theme="0" tint="-4.9989318521683403E-2"/>
        </patternFill>
      </fill>
    </dxf>
    <dxf>
      <font>
        <b val="0"/>
        <i val="0"/>
        <color theme="3" tint="9.9948118533890809E-2"/>
      </font>
      <fill>
        <patternFill>
          <fgColor theme="0"/>
          <bgColor theme="0"/>
        </patternFill>
      </fill>
      <border diagonalUp="0" diagonalDown="0">
        <left/>
        <right style="dashed">
          <color theme="3" tint="0.24994659260841701"/>
        </right>
        <top/>
        <bottom/>
        <vertical style="dashed">
          <color theme="3" tint="0.24994659260841701"/>
        </vertical>
        <horizontal/>
      </border>
    </dxf>
    <dxf>
      <font>
        <b val="0"/>
        <i val="0"/>
        <color theme="3" tint="9.9948118533890809E-2"/>
      </font>
      <fill>
        <patternFill>
          <fgColor theme="0"/>
          <bgColor theme="0"/>
        </patternFill>
      </fill>
      <border diagonalUp="0" diagonalDown="0">
        <left/>
        <right/>
        <top style="medium">
          <color theme="3" tint="0.24994659260841701"/>
        </top>
        <bottom/>
        <vertical/>
        <horizontal/>
      </border>
    </dxf>
    <dxf>
      <font>
        <b val="0"/>
        <i val="0"/>
        <color theme="3" tint="9.9948118533890809E-2"/>
      </font>
      <fill>
        <patternFill patternType="solid">
          <fgColor theme="2"/>
          <bgColor theme="2"/>
        </patternFill>
      </fill>
      <border diagonalUp="0" diagonalDown="0">
        <left/>
        <right/>
        <top/>
        <bottom style="medium">
          <color theme="3" tint="0.24994659260841701"/>
        </bottom>
        <vertical/>
        <horizontal/>
      </border>
    </dxf>
    <dxf>
      <font>
        <b val="0"/>
        <i val="0"/>
        <color theme="3" tint="9.9948118533890809E-2"/>
      </font>
      <border diagonalUp="0" diagonalDown="0">
        <left/>
        <right style="dashed">
          <color theme="3" tint="0.24994659260841701"/>
        </right>
        <top/>
        <bottom/>
        <vertical style="dashed">
          <color theme="3" tint="0.24994659260841701"/>
        </vertical>
        <horizontal/>
      </border>
    </dxf>
    <dxf>
      <font>
        <color theme="3" tint="9.9948118533890809E-2"/>
      </font>
      <fill>
        <patternFill>
          <fgColor theme="2"/>
          <bgColor theme="2"/>
        </patternFill>
      </fill>
    </dxf>
    <dxf>
      <font>
        <b val="0"/>
        <i val="0"/>
        <color theme="3" tint="9.9948118533890809E-2"/>
      </font>
      <fill>
        <patternFill>
          <fgColor theme="0"/>
          <bgColor theme="0"/>
        </patternFill>
      </fill>
      <border diagonalUp="0" diagonalDown="0">
        <left/>
        <right/>
        <top/>
        <bottom/>
        <vertical/>
        <horizontal/>
      </border>
    </dxf>
    <dxf>
      <font>
        <b val="0"/>
        <i val="0"/>
        <color theme="3" tint="9.9948118533890809E-2"/>
      </font>
      <fill>
        <patternFill>
          <fgColor theme="0"/>
          <bgColor theme="0"/>
        </patternFill>
      </fill>
      <border diagonalUp="0" diagonalDown="0">
        <left/>
        <right/>
        <top style="medium">
          <color theme="3" tint="0.24994659260841701"/>
        </top>
        <bottom/>
        <vertical/>
        <horizontal/>
      </border>
    </dxf>
    <dxf>
      <font>
        <b val="0"/>
        <i val="0"/>
        <color theme="3" tint="9.9948118533890809E-2"/>
      </font>
      <fill>
        <patternFill patternType="solid">
          <fgColor theme="2"/>
          <bgColor theme="2"/>
        </patternFill>
      </fill>
      <border diagonalUp="0" diagonalDown="0">
        <left/>
        <right/>
        <top/>
        <bottom style="medium">
          <color theme="3" tint="0.24994659260841701"/>
        </bottom>
        <vertical/>
        <horizontal/>
      </border>
    </dxf>
    <dxf>
      <font>
        <b val="0"/>
        <i val="0"/>
        <color theme="3" tint="9.9948118533890809E-2"/>
      </font>
      <fill>
        <patternFill patternType="solid">
          <fgColor theme="0"/>
          <bgColor theme="0"/>
        </patternFill>
      </fill>
      <border diagonalUp="0" diagonalDown="0">
        <left/>
        <right/>
        <top/>
        <bottom/>
        <vertical/>
        <horizontal/>
      </border>
    </dxf>
  </dxfs>
  <tableStyles count="3" defaultTableStyle="Personal Cash Flow Statement" defaultPivotStyle="PivotStyleLight15">
    <tableStyle name="Daily Summary" pivot="0" count="5" xr9:uid="{00000000-0011-0000-FFFF-FFFF00000000}">
      <tableStyleElement type="wholeTable" dxfId="112"/>
      <tableStyleElement type="headerRow" dxfId="111"/>
      <tableStyleElement type="totalRow" dxfId="110"/>
      <tableStyleElement type="firstRowStripe" dxfId="109"/>
      <tableStyleElement type="secondRowStripe" dxfId="108"/>
    </tableStyle>
    <tableStyle name="Monthly Cash Flow" pivot="0" count="5" xr9:uid="{00000000-0011-0000-FFFF-FFFF01000000}">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xr9:uid="{00000000-0011-0000-FFFF-FFFF02000000}">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[TF281b542f-3349-4685-9722-80e31c4e530ef4aece59_wac-bec5558044a4.xlsx]Annual cash flow!PVT_Income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0342654536604"/>
          <c:y val="3.4108527131782945E-2"/>
          <c:w val="0.55960399686881246"/>
          <c:h val="0.89669266923029967"/>
        </c:manualLayout>
      </c:layout>
      <c:barChart>
        <c:barDir val="bar"/>
        <c:grouping val="clustered"/>
        <c:varyColors val="0"/>
        <c:ser>
          <c:idx val="0"/>
          <c:order val="0"/>
          <c:tx>
            <c:strRef>
              <c:f>'Annual cash flow'!$S$10</c:f>
              <c:strCache>
                <c:ptCount val="1"/>
                <c:pt idx="0">
                  <c:v>Total</c:v>
                </c:pt>
              </c:strCache>
            </c:strRef>
          </c:tx>
          <c:spPr>
            <a:solidFill>
              <a:schemeClr val="accent1"/>
            </a:solidFill>
            <a:ln>
              <a:noFill/>
            </a:ln>
            <a:effectLst/>
          </c:spPr>
          <c:invertIfNegative val="0"/>
          <c:cat>
            <c:strRef>
              <c:f>'Annual cash flow'!$R$11:$R$17</c:f>
              <c:strCache>
                <c:ptCount val="6"/>
                <c:pt idx="0">
                  <c:v>Other 2</c:v>
                </c:pt>
                <c:pt idx="1">
                  <c:v>Other 3</c:v>
                </c:pt>
                <c:pt idx="2">
                  <c:v>Other 4</c:v>
                </c:pt>
                <c:pt idx="3">
                  <c:v>Commissions/bonus</c:v>
                </c:pt>
                <c:pt idx="4">
                  <c:v>Other 1</c:v>
                </c:pt>
                <c:pt idx="5">
                  <c:v>Salary</c:v>
                </c:pt>
              </c:strCache>
            </c:strRef>
          </c:cat>
          <c:val>
            <c:numRef>
              <c:f>'Annual cash flow'!$S$11:$S$17</c:f>
              <c:numCache>
                <c:formatCode>"$"#,##0</c:formatCode>
                <c:ptCount val="6"/>
                <c:pt idx="0">
                  <c:v>0</c:v>
                </c:pt>
                <c:pt idx="1">
                  <c:v>0</c:v>
                </c:pt>
                <c:pt idx="2">
                  <c:v>0</c:v>
                </c:pt>
                <c:pt idx="3">
                  <c:v>5000</c:v>
                </c:pt>
                <c:pt idx="4">
                  <c:v>30000</c:v>
                </c:pt>
                <c:pt idx="5">
                  <c:v>90000</c:v>
                </c:pt>
              </c:numCache>
            </c:numRef>
          </c:val>
          <c:extLst>
            <c:ext xmlns:c16="http://schemas.microsoft.com/office/drawing/2014/chart" uri="{C3380CC4-5D6E-409C-BE32-E72D297353CC}">
              <c16:uniqueId val="{00000000-2854-44CC-B078-EE20F97F8456}"/>
            </c:ext>
          </c:extLst>
        </c:ser>
        <c:dLbls>
          <c:showLegendKey val="0"/>
          <c:showVal val="0"/>
          <c:showCatName val="0"/>
          <c:showSerName val="0"/>
          <c:showPercent val="0"/>
          <c:showBubbleSize val="0"/>
        </c:dLbls>
        <c:gapWidth val="100"/>
        <c:axId val="305458912"/>
        <c:axId val="305465800"/>
      </c:barChart>
      <c:catAx>
        <c:axId val="30545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465800"/>
        <c:crosses val="autoZero"/>
        <c:auto val="1"/>
        <c:lblAlgn val="ctr"/>
        <c:lblOffset val="100"/>
        <c:noMultiLvlLbl val="0"/>
      </c:catAx>
      <c:valAx>
        <c:axId val="30546580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458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[TF281b542f-3349-4685-9722-80e31c4e530ef4aece59_wac-bec5558044a4.xlsx]Annual cash flow!PVT_Expenses2</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95863674935368"/>
          <c:y val="3.4108527131782945E-2"/>
          <c:w val="0.57569382774521605"/>
          <c:h val="0.89669266923029967"/>
        </c:manualLayout>
      </c:layout>
      <c:barChart>
        <c:barDir val="bar"/>
        <c:grouping val="clustered"/>
        <c:varyColors val="0"/>
        <c:ser>
          <c:idx val="0"/>
          <c:order val="0"/>
          <c:tx>
            <c:strRef>
              <c:f>'Annual cash flow'!$Y$10</c:f>
              <c:strCache>
                <c:ptCount val="1"/>
                <c:pt idx="0">
                  <c:v>Total</c:v>
                </c:pt>
              </c:strCache>
            </c:strRef>
          </c:tx>
          <c:spPr>
            <a:solidFill>
              <a:schemeClr val="accent1"/>
            </a:solidFill>
            <a:ln>
              <a:noFill/>
            </a:ln>
            <a:effectLst/>
          </c:spPr>
          <c:invertIfNegative val="0"/>
          <c:cat>
            <c:strRef>
              <c:f>'Annual cash flow'!$X$11:$X$22</c:f>
              <c:strCache>
                <c:ptCount val="11"/>
                <c:pt idx="0">
                  <c:v>Other 2</c:v>
                </c:pt>
                <c:pt idx="1">
                  <c:v>Other 1</c:v>
                </c:pt>
                <c:pt idx="2">
                  <c:v>Club/Memberships</c:v>
                </c:pt>
                <c:pt idx="3">
                  <c:v>Personal Care</c:v>
                </c:pt>
                <c:pt idx="4">
                  <c:v>Gifts</c:v>
                </c:pt>
                <c:pt idx="5">
                  <c:v>Charity</c:v>
                </c:pt>
                <c:pt idx="6">
                  <c:v>Entertainment</c:v>
                </c:pt>
                <c:pt idx="7">
                  <c:v>Dining</c:v>
                </c:pt>
                <c:pt idx="8">
                  <c:v>Shopping</c:v>
                </c:pt>
                <c:pt idx="9">
                  <c:v>Travel</c:v>
                </c:pt>
                <c:pt idx="10">
                  <c:v>Home Improvements</c:v>
                </c:pt>
              </c:strCache>
            </c:strRef>
          </c:cat>
          <c:val>
            <c:numRef>
              <c:f>'Annual cash flow'!$Y$11:$Y$22</c:f>
              <c:numCache>
                <c:formatCode>"$"#,##0</c:formatCode>
                <c:ptCount val="11"/>
                <c:pt idx="0">
                  <c:v>0</c:v>
                </c:pt>
                <c:pt idx="1">
                  <c:v>0</c:v>
                </c:pt>
                <c:pt idx="2">
                  <c:v>300</c:v>
                </c:pt>
                <c:pt idx="3">
                  <c:v>300</c:v>
                </c:pt>
                <c:pt idx="4">
                  <c:v>600</c:v>
                </c:pt>
                <c:pt idx="5">
                  <c:v>600</c:v>
                </c:pt>
                <c:pt idx="6">
                  <c:v>1200</c:v>
                </c:pt>
                <c:pt idx="7">
                  <c:v>1200</c:v>
                </c:pt>
                <c:pt idx="8">
                  <c:v>2000</c:v>
                </c:pt>
                <c:pt idx="9">
                  <c:v>2250</c:v>
                </c:pt>
                <c:pt idx="10">
                  <c:v>4800</c:v>
                </c:pt>
              </c:numCache>
            </c:numRef>
          </c:val>
          <c:extLst>
            <c:ext xmlns:c16="http://schemas.microsoft.com/office/drawing/2014/chart" uri="{C3380CC4-5D6E-409C-BE32-E72D297353CC}">
              <c16:uniqueId val="{00000000-074B-420E-B9AF-5801DF72E864}"/>
            </c:ext>
          </c:extLst>
        </c:ser>
        <c:dLbls>
          <c:showLegendKey val="0"/>
          <c:showVal val="0"/>
          <c:showCatName val="0"/>
          <c:showSerName val="0"/>
          <c:showPercent val="0"/>
          <c:showBubbleSize val="0"/>
        </c:dLbls>
        <c:gapWidth val="100"/>
        <c:axId val="512411144"/>
        <c:axId val="512410816"/>
      </c:barChart>
      <c:catAx>
        <c:axId val="512411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10816"/>
        <c:crosses val="autoZero"/>
        <c:auto val="1"/>
        <c:lblAlgn val="ctr"/>
        <c:lblOffset val="100"/>
        <c:noMultiLvlLbl val="0"/>
      </c:catAx>
      <c:valAx>
        <c:axId val="512410816"/>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11144"/>
        <c:crosses val="autoZero"/>
        <c:crossBetween val="between"/>
        <c:majorUnit val="2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[TF281b542f-3349-4685-9722-80e31c4e530ef4aece59_wac-bec5558044a4.xlsx]Annual cash flow!PVT_Expenses1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'Annual cash flow'!$V$10</c:f>
              <c:strCache>
                <c:ptCount val="1"/>
                <c:pt idx="0">
                  <c:v>Total</c:v>
                </c:pt>
              </c:strCache>
            </c:strRef>
          </c:tx>
          <c:spPr>
            <a:solidFill>
              <a:schemeClr val="accent1"/>
            </a:solidFill>
            <a:ln>
              <a:noFill/>
            </a:ln>
            <a:effectLst/>
          </c:spPr>
          <c:invertIfNegative val="0"/>
          <c:cat>
            <c:strRef>
              <c:f>'Annual cash flow'!$U$11:$U$29</c:f>
              <c:strCache>
                <c:ptCount val="18"/>
                <c:pt idx="0">
                  <c:v>Other 1</c:v>
                </c:pt>
                <c:pt idx="1">
                  <c:v>Other 2</c:v>
                </c:pt>
                <c:pt idx="2">
                  <c:v>Garbage</c:v>
                </c:pt>
                <c:pt idx="3">
                  <c:v>Vehicle Tax/Fees</c:v>
                </c:pt>
                <c:pt idx="4">
                  <c:v>Insurance</c:v>
                </c:pt>
                <c:pt idx="5">
                  <c:v>Internet</c:v>
                </c:pt>
                <c:pt idx="6">
                  <c:v>Gas</c:v>
                </c:pt>
                <c:pt idx="7">
                  <c:v>Water/Sewer</c:v>
                </c:pt>
                <c:pt idx="8">
                  <c:v>Phone</c:v>
                </c:pt>
                <c:pt idx="9">
                  <c:v>Medical/Dental/Rx</c:v>
                </c:pt>
                <c:pt idx="10">
                  <c:v>Electricity</c:v>
                </c:pt>
                <c:pt idx="11">
                  <c:v>Clothing</c:v>
                </c:pt>
                <c:pt idx="12">
                  <c:v>Disability Premiums</c:v>
                </c:pt>
                <c:pt idx="13">
                  <c:v>State Income Tax</c:v>
                </c:pt>
                <c:pt idx="14">
                  <c:v>Vehicle Payments</c:v>
                </c:pt>
                <c:pt idx="15">
                  <c:v>Food</c:v>
                </c:pt>
                <c:pt idx="16">
                  <c:v>Federal/SS/Medicare</c:v>
                </c:pt>
                <c:pt idx="17">
                  <c:v>Mortgage/Rent</c:v>
                </c:pt>
              </c:strCache>
            </c:strRef>
          </c:cat>
          <c:val>
            <c:numRef>
              <c:f>'Annual cash flow'!$V$11:$V$29</c:f>
              <c:numCache>
                <c:formatCode>"$"#,##0_);\("$"#,##0\)</c:formatCode>
                <c:ptCount val="18"/>
                <c:pt idx="0">
                  <c:v>0</c:v>
                </c:pt>
                <c:pt idx="1">
                  <c:v>0</c:v>
                </c:pt>
                <c:pt idx="2">
                  <c:v>150</c:v>
                </c:pt>
                <c:pt idx="3">
                  <c:v>200</c:v>
                </c:pt>
                <c:pt idx="4">
                  <c:v>250</c:v>
                </c:pt>
                <c:pt idx="5">
                  <c:v>600</c:v>
                </c:pt>
                <c:pt idx="6">
                  <c:v>600</c:v>
                </c:pt>
                <c:pt idx="7">
                  <c:v>600</c:v>
                </c:pt>
                <c:pt idx="8">
                  <c:v>600</c:v>
                </c:pt>
                <c:pt idx="9">
                  <c:v>600</c:v>
                </c:pt>
                <c:pt idx="10">
                  <c:v>1200</c:v>
                </c:pt>
                <c:pt idx="11">
                  <c:v>1200</c:v>
                </c:pt>
                <c:pt idx="12">
                  <c:v>1500</c:v>
                </c:pt>
                <c:pt idx="13">
                  <c:v>2500</c:v>
                </c:pt>
                <c:pt idx="14">
                  <c:v>4000</c:v>
                </c:pt>
                <c:pt idx="15">
                  <c:v>5000</c:v>
                </c:pt>
                <c:pt idx="16">
                  <c:v>12500</c:v>
                </c:pt>
                <c:pt idx="17">
                  <c:v>15000</c:v>
                </c:pt>
              </c:numCache>
            </c:numRef>
          </c:val>
          <c:extLst>
            <c:ext xmlns:c16="http://schemas.microsoft.com/office/drawing/2014/chart" uri="{C3380CC4-5D6E-409C-BE32-E72D297353CC}">
              <c16:uniqueId val="{00000000-CCFA-4E31-A5EE-15A6F7C97F89}"/>
            </c:ext>
          </c:extLst>
        </c:ser>
        <c:dLbls>
          <c:showLegendKey val="0"/>
          <c:showVal val="0"/>
          <c:showCatName val="0"/>
          <c:showSerName val="0"/>
          <c:showPercent val="0"/>
          <c:showBubbleSize val="0"/>
        </c:dLbls>
        <c:gapWidth val="100"/>
        <c:axId val="287964960"/>
        <c:axId val="287968896"/>
      </c:barChart>
      <c:catAx>
        <c:axId val="28796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68896"/>
        <c:crosses val="autoZero"/>
        <c:auto val="1"/>
        <c:lblAlgn val="ctr"/>
        <c:lblOffset val="100"/>
        <c:noMultiLvlLbl val="0"/>
      </c:catAx>
      <c:valAx>
        <c:axId val="287968896"/>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64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[TF281b542f-3349-4685-9722-80e31c4e530ef4aece59_wac-bec5558044a4.xlsx]Annual cash flow!PVT_Savings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'Annual cash flow'!$AB$10</c:f>
              <c:strCache>
                <c:ptCount val="1"/>
                <c:pt idx="0">
                  <c:v>Total</c:v>
                </c:pt>
              </c:strCache>
            </c:strRef>
          </c:tx>
          <c:spPr>
            <a:solidFill>
              <a:schemeClr val="accent1"/>
            </a:solidFill>
            <a:ln>
              <a:noFill/>
            </a:ln>
            <a:effectLst/>
          </c:spPr>
          <c:invertIfNegative val="0"/>
          <c:cat>
            <c:strRef>
              <c:f>'Annual cash flow'!$AA$11:$AA$16</c:f>
              <c:strCache>
                <c:ptCount val="5"/>
                <c:pt idx="0">
                  <c:v>Other 1</c:v>
                </c:pt>
                <c:pt idx="1">
                  <c:v>Other 2</c:v>
                </c:pt>
                <c:pt idx="2">
                  <c:v>Cash Reserves</c:v>
                </c:pt>
                <c:pt idx="3">
                  <c:v>Savings/Investment</c:v>
                </c:pt>
                <c:pt idx="4">
                  <c:v>401(k)/Etc</c:v>
                </c:pt>
              </c:strCache>
            </c:strRef>
          </c:cat>
          <c:val>
            <c:numRef>
              <c:f>'Annual cash flow'!$AB$11:$AB$16</c:f>
              <c:numCache>
                <c:formatCode>"$"#,##0</c:formatCode>
                <c:ptCount val="5"/>
                <c:pt idx="0">
                  <c:v>0</c:v>
                </c:pt>
                <c:pt idx="1">
                  <c:v>0</c:v>
                </c:pt>
                <c:pt idx="2">
                  <c:v>5000</c:v>
                </c:pt>
                <c:pt idx="3">
                  <c:v>6000</c:v>
                </c:pt>
                <c:pt idx="4">
                  <c:v>12000</c:v>
                </c:pt>
              </c:numCache>
            </c:numRef>
          </c:val>
          <c:extLst>
            <c:ext xmlns:c16="http://schemas.microsoft.com/office/drawing/2014/chart" uri="{C3380CC4-5D6E-409C-BE32-E72D297353CC}">
              <c16:uniqueId val="{00000000-84FD-47D2-AE12-940F8BD2E877}"/>
            </c:ext>
          </c:extLst>
        </c:ser>
        <c:dLbls>
          <c:showLegendKey val="0"/>
          <c:showVal val="0"/>
          <c:showCatName val="0"/>
          <c:showSerName val="0"/>
          <c:showPercent val="0"/>
          <c:showBubbleSize val="0"/>
        </c:dLbls>
        <c:gapWidth val="100"/>
        <c:axId val="527863088"/>
        <c:axId val="527863416"/>
      </c:barChart>
      <c:catAx>
        <c:axId val="52786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63416"/>
        <c:crosses val="autoZero"/>
        <c:auto val="1"/>
        <c:lblAlgn val="ctr"/>
        <c:lblOffset val="100"/>
        <c:noMultiLvlLbl val="0"/>
      </c:catAx>
      <c:valAx>
        <c:axId val="52786341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630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 Id="rId4" Type="http://schemas.openxmlformats.org/officeDocument/2006/relationships/hyperlink" Target="#'Monthly Cash Flow'!A1"/></Relationships>
</file>

<file path=xl/drawings/_rels/drawing2.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 Id="rId4" Type="http://schemas.openxmlformats.org/officeDocument/2006/relationships/hyperlink" Target="#'Monthly Cash Flow'!A1"/></Relationships>
</file>

<file path=xl/drawings/_rels/drawing3.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 Id="rId4" Type="http://schemas.openxmlformats.org/officeDocument/2006/relationships/hyperlink" Target="#'Monthly Cash Flow'!A1"/></Relationships>
</file>

<file path=xl/drawings/_rels/drawing4.xml.rels><?xml version="1.0" encoding="UTF-8" standalone="yes"?>
<Relationships xmlns="http://schemas.openxmlformats.org/package/2006/relationships"><Relationship Id="rId8" Type="http://schemas.openxmlformats.org/officeDocument/2006/relationships/hyperlink" Target="#Savings!A1"/><Relationship Id="rId3" Type="http://schemas.openxmlformats.org/officeDocument/2006/relationships/chart" Target="../charts/chart3.xml"/><Relationship Id="rId7" Type="http://schemas.openxmlformats.org/officeDocument/2006/relationships/hyperlink" Target="#'Annual Cash Flow'!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iscretionary!A1"/><Relationship Id="rId5" Type="http://schemas.openxmlformats.org/officeDocument/2006/relationships/hyperlink" Target="#Guide!A1"/><Relationship Id="rId10" Type="http://schemas.openxmlformats.org/officeDocument/2006/relationships/hyperlink" Target="#Income!A1"/><Relationship Id="rId4" Type="http://schemas.openxmlformats.org/officeDocument/2006/relationships/chart" Target="../charts/chart4.xml"/><Relationship Id="rId9" Type="http://schemas.openxmlformats.org/officeDocument/2006/relationships/hyperlink" Target="#Expenses!A1"/></Relationships>
</file>

<file path=xl/drawings/_rels/drawing5.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_rels/drawing6.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_rels/drawing7.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_rels/drawing8.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drawing1.xml><?xml version="1.0" encoding="utf-8"?>
<xdr:wsDr xmlns:xdr="http://schemas.openxmlformats.org/drawingml/2006/spreadsheetDrawing" xmlns:a="http://schemas.openxmlformats.org/drawingml/2006/main">
  <xdr:twoCellAnchor editAs="absolute">
    <xdr:from>
      <xdr:col>12</xdr:col>
      <xdr:colOff>353568</xdr:colOff>
      <xdr:row>0</xdr:row>
      <xdr:rowOff>57150</xdr:rowOff>
    </xdr:from>
    <xdr:to>
      <xdr:col>14</xdr:col>
      <xdr:colOff>9144</xdr:colOff>
      <xdr:row>0</xdr:row>
      <xdr:rowOff>496062</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11640693"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GUIDE</a:t>
          </a:r>
        </a:p>
      </xdr:txBody>
    </xdr:sp>
    <xdr:clientData fPrintsWithSheet="0"/>
  </xdr:twoCellAnchor>
  <xdr:twoCellAnchor editAs="absolute">
    <xdr:from>
      <xdr:col>7</xdr:col>
      <xdr:colOff>2011146</xdr:colOff>
      <xdr:row>0</xdr:row>
      <xdr:rowOff>56768</xdr:rowOff>
    </xdr:from>
    <xdr:to>
      <xdr:col>9</xdr:col>
      <xdr:colOff>476097</xdr:colOff>
      <xdr:row>0</xdr:row>
      <xdr:rowOff>495680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DAILY</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10</xdr:col>
      <xdr:colOff>525094</xdr:colOff>
      <xdr:row>0</xdr:row>
      <xdr:rowOff>57150</xdr:rowOff>
    </xdr:from>
    <xdr:to>
      <xdr:col>12</xdr:col>
      <xdr:colOff>285445</xdr:colOff>
      <xdr:row>0</xdr:row>
      <xdr:rowOff>496062</xdr:rowOff>
    </xdr:to>
    <xdr:sp macro="" textlink="">
      <xdr:nvSpPr>
        <xdr:cNvPr id="6" name="Rounded Rectangle 5">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9</xdr:col>
      <xdr:colOff>544220</xdr:colOff>
      <xdr:row>0</xdr:row>
      <xdr:rowOff>57150</xdr:rowOff>
    </xdr:from>
    <xdr:to>
      <xdr:col>10</xdr:col>
      <xdr:colOff>456971</xdr:colOff>
      <xdr:row>0</xdr:row>
      <xdr:rowOff>496062</xdr:rowOff>
    </xdr:to>
    <xdr:sp macro="" textlink="">
      <xdr:nvSpPr>
        <xdr:cNvPr id="7" name="Rounded Rectangle 6">
          <a:hlinkClick xmlns:r="http://schemas.openxmlformats.org/officeDocument/2006/relationships" r:id="rId4"/>
          <a:extLst>
            <a:ext uri="{FF2B5EF4-FFF2-40B4-BE49-F238E27FC236}">
              <a16:creationId xmlns:a16="http://schemas.microsoft.com/office/drawing/2014/main" id="{00000000-0008-0000-0000-000007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MONTHLY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1371600</xdr:colOff>
      <xdr:row>2</xdr:row>
      <xdr:rowOff>0</xdr:rowOff>
    </xdr:to>
    <xdr:sp macro="" textlink="">
      <xdr:nvSpPr>
        <xdr:cNvPr id="3" name="Round Same Side Corner Rectangle 2" descr="Rounded rectangle">
          <a:extLst>
            <a:ext uri="{FF2B5EF4-FFF2-40B4-BE49-F238E27FC236}">
              <a16:creationId xmlns:a16="http://schemas.microsoft.com/office/drawing/2014/main" id="{00000000-0008-0000-0100-000003000000}"/>
            </a:ext>
          </a:extLst>
        </xdr:cNvPr>
        <xdr:cNvSpPr/>
      </xdr:nvSpPr>
      <xdr:spPr>
        <a:xfrm>
          <a:off x="152400" y="552450"/>
          <a:ext cx="4248150" cy="552450"/>
        </a:xfrm>
        <a:prstGeom prst="round2SameRect">
          <a:avLst>
            <a:gd name="adj1" fmla="val 0"/>
            <a:gd name="adj2" fmla="val 25491"/>
          </a:avLst>
        </a:prstGeom>
        <a:no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534543</xdr:colOff>
      <xdr:row>0</xdr:row>
      <xdr:rowOff>57150</xdr:rowOff>
    </xdr:from>
    <xdr:to>
      <xdr:col>11</xdr:col>
      <xdr:colOff>285369</xdr:colOff>
      <xdr:row>0</xdr:row>
      <xdr:rowOff>496062</xdr:rowOff>
    </xdr:to>
    <xdr:sp macro="" textlink="">
      <xdr:nvSpPr>
        <xdr:cNvPr id="10" name="Rounded Rectangle 9">
          <a:hlinkClick xmlns:r="http://schemas.openxmlformats.org/officeDocument/2006/relationships" r:id="rId1"/>
          <a:extLst>
            <a:ext uri="{FF2B5EF4-FFF2-40B4-BE49-F238E27FC236}">
              <a16:creationId xmlns:a16="http://schemas.microsoft.com/office/drawing/2014/main" id="{00000000-0008-0000-0100-00000A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744321</xdr:colOff>
      <xdr:row>0</xdr:row>
      <xdr:rowOff>56768</xdr:rowOff>
    </xdr:from>
    <xdr:to>
      <xdr:col>7</xdr:col>
      <xdr:colOff>657072</xdr:colOff>
      <xdr:row>0</xdr:row>
      <xdr:rowOff>495680</xdr:rowOff>
    </xdr:to>
    <xdr:sp macro="" textlink="">
      <xdr:nvSpPr>
        <xdr:cNvPr id="11" name="Rounded Rectangle 10">
          <a:hlinkClick xmlns:r="http://schemas.openxmlformats.org/officeDocument/2006/relationships" r:id="rId2"/>
          <a:extLst>
            <a:ext uri="{FF2B5EF4-FFF2-40B4-BE49-F238E27FC236}">
              <a16:creationId xmlns:a16="http://schemas.microsoft.com/office/drawing/2014/main" id="{00000000-0008-0000-0100-00000B000000}"/>
            </a:ext>
          </a:extLst>
        </xdr:cNvPr>
        <xdr:cNvSpPr/>
      </xdr:nvSpPr>
      <xdr:spPr>
        <a:xfrm>
          <a:off x="7897596"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DAILY</a:t>
          </a:r>
          <a:br>
            <a:rPr lang="en-US" sz="900">
              <a:solidFill>
                <a:schemeClr val="accent1">
                  <a:lumMod val="40000"/>
                  <a:lumOff val="60000"/>
                </a:schemeClr>
              </a:solidFill>
              <a:latin typeface="+mn-lt"/>
            </a:rPr>
          </a:br>
          <a:r>
            <a:rPr lang="en-US" sz="900">
              <a:solidFill>
                <a:schemeClr val="accent1">
                  <a:lumMod val="40000"/>
                  <a:lumOff val="60000"/>
                </a:schemeClr>
              </a:solidFill>
              <a:latin typeface="+mn-lt"/>
            </a:rPr>
            <a:t>CASH FLOW</a:t>
          </a:r>
        </a:p>
      </xdr:txBody>
    </xdr:sp>
    <xdr:clientData fPrintsWithSheet="0"/>
  </xdr:twoCellAnchor>
  <xdr:twoCellAnchor editAs="absolute">
    <xdr:from>
      <xdr:col>8</xdr:col>
      <xdr:colOff>706069</xdr:colOff>
      <xdr:row>0</xdr:row>
      <xdr:rowOff>57150</xdr:rowOff>
    </xdr:from>
    <xdr:to>
      <xdr:col>10</xdr:col>
      <xdr:colOff>466420</xdr:colOff>
      <xdr:row>0</xdr:row>
      <xdr:rowOff>496062</xdr:rowOff>
    </xdr:to>
    <xdr:sp macro="" textlink="">
      <xdr:nvSpPr>
        <xdr:cNvPr id="12" name="Rounded Rectangle 11">
          <a:hlinkClick xmlns:r="http://schemas.openxmlformats.org/officeDocument/2006/relationships" r:id="rId3"/>
          <a:extLst>
            <a:ext uri="{FF2B5EF4-FFF2-40B4-BE49-F238E27FC236}">
              <a16:creationId xmlns:a16="http://schemas.microsoft.com/office/drawing/2014/main" id="{00000000-0008-0000-0100-00000C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endParaRPr lang="en-US" sz="900" baseline="0">
            <a:solidFill>
              <a:schemeClr val="tx2">
                <a:lumMod val="10000"/>
                <a:lumOff val="90000"/>
              </a:schemeClr>
            </a:solidFill>
            <a:latin typeface="+mn-lt"/>
          </a:endParaRP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725195</xdr:colOff>
      <xdr:row>0</xdr:row>
      <xdr:rowOff>57150</xdr:rowOff>
    </xdr:from>
    <xdr:to>
      <xdr:col>8</xdr:col>
      <xdr:colOff>637946</xdr:colOff>
      <xdr:row>0</xdr:row>
      <xdr:rowOff>496062</xdr:rowOff>
    </xdr:to>
    <xdr:sp macro="" textlink="">
      <xdr:nvSpPr>
        <xdr:cNvPr id="13" name="Rounded Rectangle 12">
          <a:hlinkClick xmlns:r="http://schemas.openxmlformats.org/officeDocument/2006/relationships" r:id="rId4"/>
          <a:extLst>
            <a:ext uri="{FF2B5EF4-FFF2-40B4-BE49-F238E27FC236}">
              <a16:creationId xmlns:a16="http://schemas.microsoft.com/office/drawing/2014/main" id="{00000000-0008-0000-0100-00000D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MONTHLY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276225</xdr:colOff>
      <xdr:row>2</xdr:row>
      <xdr:rowOff>0</xdr:rowOff>
    </xdr:to>
    <xdr:sp macro="" textlink="">
      <xdr:nvSpPr>
        <xdr:cNvPr id="6" name="Round Same Side Corner Rectangle 5" descr="Rounded rectangle">
          <a:extLst>
            <a:ext uri="{FF2B5EF4-FFF2-40B4-BE49-F238E27FC236}">
              <a16:creationId xmlns:a16="http://schemas.microsoft.com/office/drawing/2014/main" id="{00000000-0008-0000-0200-000006000000}"/>
            </a:ext>
          </a:extLst>
        </xdr:cNvPr>
        <xdr:cNvSpPr/>
      </xdr:nvSpPr>
      <xdr:spPr>
        <a:xfrm>
          <a:off x="152400" y="552450"/>
          <a:ext cx="4248150" cy="552450"/>
        </a:xfrm>
        <a:prstGeom prst="round2SameRect">
          <a:avLst>
            <a:gd name="adj1" fmla="val 0"/>
            <a:gd name="adj2" fmla="val 25491"/>
          </a:avLst>
        </a:prstGeom>
        <a:no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9</xdr:col>
      <xdr:colOff>1182243</xdr:colOff>
      <xdr:row>0</xdr:row>
      <xdr:rowOff>57150</xdr:rowOff>
    </xdr:from>
    <xdr:to>
      <xdr:col>10</xdr:col>
      <xdr:colOff>1094994</xdr:colOff>
      <xdr:row>0</xdr:row>
      <xdr:rowOff>496062</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1239621</xdr:colOff>
      <xdr:row>0</xdr:row>
      <xdr:rowOff>56768</xdr:rowOff>
    </xdr:from>
    <xdr:to>
      <xdr:col>7</xdr:col>
      <xdr:colOff>1152372</xdr:colOff>
      <xdr:row>0</xdr:row>
      <xdr:rowOff>495680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00000000-0008-0000-0200-000004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DAILY</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8</xdr:col>
      <xdr:colOff>1201369</xdr:colOff>
      <xdr:row>0</xdr:row>
      <xdr:rowOff>57150</xdr:rowOff>
    </xdr:from>
    <xdr:to>
      <xdr:col>9</xdr:col>
      <xdr:colOff>1114120</xdr:colOff>
      <xdr:row>0</xdr:row>
      <xdr:rowOff>496062</xdr:rowOff>
    </xdr:to>
    <xdr:sp macro="" textlink="">
      <xdr:nvSpPr>
        <xdr:cNvPr id="5" name="Rounded Rectangle 4">
          <a:hlinkClick xmlns:r="http://schemas.openxmlformats.org/officeDocument/2006/relationships" r:id="rId3"/>
          <a:extLst>
            <a:ext uri="{FF2B5EF4-FFF2-40B4-BE49-F238E27FC236}">
              <a16:creationId xmlns:a16="http://schemas.microsoft.com/office/drawing/2014/main" id="{00000000-0008-0000-0200-000005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1220495</xdr:colOff>
      <xdr:row>0</xdr:row>
      <xdr:rowOff>57150</xdr:rowOff>
    </xdr:from>
    <xdr:to>
      <xdr:col>8</xdr:col>
      <xdr:colOff>1133246</xdr:colOff>
      <xdr:row>0</xdr:row>
      <xdr:rowOff>496062</xdr:rowOff>
    </xdr:to>
    <xdr:sp macro="" textlink="">
      <xdr:nvSpPr>
        <xdr:cNvPr id="7" name="Rounded Rectangle 6">
          <a:hlinkClick xmlns:r="http://schemas.openxmlformats.org/officeDocument/2006/relationships" r:id="rId4"/>
          <a:extLst>
            <a:ext uri="{FF2B5EF4-FFF2-40B4-BE49-F238E27FC236}">
              <a16:creationId xmlns:a16="http://schemas.microsoft.com/office/drawing/2014/main" id="{00000000-0008-0000-0200-000007000000}"/>
            </a:ext>
          </a:extLst>
        </xdr:cNvPr>
        <xdr:cNvSpPr/>
      </xdr:nvSpPr>
      <xdr:spPr>
        <a:xfrm>
          <a:off x="9145295"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MONTHLY </a:t>
          </a:r>
          <a:br>
            <a:rPr lang="en-US" sz="900">
              <a:solidFill>
                <a:schemeClr val="accent1">
                  <a:lumMod val="40000"/>
                  <a:lumOff val="60000"/>
                </a:schemeClr>
              </a:solidFill>
              <a:latin typeface="+mn-lt"/>
            </a:rPr>
          </a:br>
          <a:r>
            <a:rPr lang="en-US" sz="900">
              <a:solidFill>
                <a:schemeClr val="accent1">
                  <a:lumMod val="40000"/>
                  <a:lumOff val="60000"/>
                </a:schemeClr>
              </a:solidFill>
              <a:latin typeface="+mn-lt"/>
            </a:rPr>
            <a:t>CASH FLOW</a:t>
          </a:r>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3176</xdr:rowOff>
    </xdr:from>
    <xdr:to>
      <xdr:col>5</xdr:col>
      <xdr:colOff>0</xdr:colOff>
      <xdr:row>2</xdr:row>
      <xdr:rowOff>0</xdr:rowOff>
    </xdr:to>
    <xdr:sp macro="" textlink="">
      <xdr:nvSpPr>
        <xdr:cNvPr id="2" name="Round Same Side Corner Rectangle 18" descr="Rounded rectangle">
          <a:extLst>
            <a:ext uri="{FF2B5EF4-FFF2-40B4-BE49-F238E27FC236}">
              <a16:creationId xmlns:a16="http://schemas.microsoft.com/office/drawing/2014/main" id="{00000000-0008-0000-0300-000002000000}"/>
            </a:ext>
          </a:extLst>
        </xdr:cNvPr>
        <xdr:cNvSpPr/>
      </xdr:nvSpPr>
      <xdr:spPr>
        <a:xfrm>
          <a:off x="152400" y="555626"/>
          <a:ext cx="4029075" cy="549274"/>
        </a:xfrm>
        <a:prstGeom prst="round2SameRect">
          <a:avLst>
            <a:gd name="adj1" fmla="val 0"/>
            <a:gd name="adj2" fmla="val 25491"/>
          </a:avLst>
        </a:prstGeom>
        <a:no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0</xdr:colOff>
      <xdr:row>5</xdr:row>
      <xdr:rowOff>0</xdr:rowOff>
    </xdr:from>
    <xdr:to>
      <xdr:col>4</xdr:col>
      <xdr:colOff>0</xdr:colOff>
      <xdr:row>6</xdr:row>
      <xdr:rowOff>0</xdr:rowOff>
    </xdr:to>
    <xdr:graphicFrame macro="">
      <xdr:nvGraphicFramePr>
        <xdr:cNvPr id="4" name="Chart 3" descr="Pivot bar chart showing income from various sources">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0</xdr:rowOff>
    </xdr:from>
    <xdr:to>
      <xdr:col>12</xdr:col>
      <xdr:colOff>0</xdr:colOff>
      <xdr:row>6</xdr:row>
      <xdr:rowOff>0</xdr:rowOff>
    </xdr:to>
    <xdr:graphicFrame macro="">
      <xdr:nvGraphicFramePr>
        <xdr:cNvPr id="8" name="Chart 7" descr="Pivot bar chart showing discretionary expenses">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xdr:row>
      <xdr:rowOff>0</xdr:rowOff>
    </xdr:from>
    <xdr:to>
      <xdr:col>8</xdr:col>
      <xdr:colOff>0</xdr:colOff>
      <xdr:row>6</xdr:row>
      <xdr:rowOff>0</xdr:rowOff>
    </xdr:to>
    <xdr:graphicFrame macro="">
      <xdr:nvGraphicFramePr>
        <xdr:cNvPr id="9" name="Chart 8" descr="Pivot bar chart showing discretionary expenses">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4</xdr:row>
      <xdr:rowOff>428624</xdr:rowOff>
    </xdr:from>
    <xdr:to>
      <xdr:col>16</xdr:col>
      <xdr:colOff>0</xdr:colOff>
      <xdr:row>5</xdr:row>
      <xdr:rowOff>4314824</xdr:rowOff>
    </xdr:to>
    <xdr:graphicFrame macro="">
      <xdr:nvGraphicFramePr>
        <xdr:cNvPr id="10" name="Chart 9" descr="Pivot bar chart showing savings and investments">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896493</xdr:colOff>
      <xdr:row>0</xdr:row>
      <xdr:rowOff>57150</xdr:rowOff>
    </xdr:from>
    <xdr:to>
      <xdr:col>13</xdr:col>
      <xdr:colOff>580644</xdr:colOff>
      <xdr:row>0</xdr:row>
      <xdr:rowOff>496062</xdr:rowOff>
    </xdr:to>
    <xdr:sp macro="" textlink="">
      <xdr:nvSpPr>
        <xdr:cNvPr id="7" name="Rounded Rectangle 6">
          <a:hlinkClick xmlns:r="http://schemas.openxmlformats.org/officeDocument/2006/relationships" r:id="rId5"/>
          <a:extLst>
            <a:ext uri="{FF2B5EF4-FFF2-40B4-BE49-F238E27FC236}">
              <a16:creationId xmlns:a16="http://schemas.microsoft.com/office/drawing/2014/main" id="{00000000-0008-0000-0300-000007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7</xdr:col>
      <xdr:colOff>1182471</xdr:colOff>
      <xdr:row>0</xdr:row>
      <xdr:rowOff>56768</xdr:rowOff>
    </xdr:from>
    <xdr:to>
      <xdr:col>9</xdr:col>
      <xdr:colOff>866622</xdr:colOff>
      <xdr:row>0</xdr:row>
      <xdr:rowOff>495680</xdr:rowOff>
    </xdr:to>
    <xdr:sp macro="" textlink="">
      <xdr:nvSpPr>
        <xdr:cNvPr id="11" name="Rounded Rectangle 10">
          <a:hlinkClick xmlns:r="http://schemas.openxmlformats.org/officeDocument/2006/relationships" r:id="rId6"/>
          <a:extLst>
            <a:ext uri="{FF2B5EF4-FFF2-40B4-BE49-F238E27FC236}">
              <a16:creationId xmlns:a16="http://schemas.microsoft.com/office/drawing/2014/main" id="{00000000-0008-0000-0300-00000B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10</xdr:col>
      <xdr:colOff>915619</xdr:colOff>
      <xdr:row>0</xdr:row>
      <xdr:rowOff>57150</xdr:rowOff>
    </xdr:from>
    <xdr:to>
      <xdr:col>11</xdr:col>
      <xdr:colOff>828370</xdr:colOff>
      <xdr:row>0</xdr:row>
      <xdr:rowOff>496062</xdr:rowOff>
    </xdr:to>
    <xdr:sp macro="" textlink="">
      <xdr:nvSpPr>
        <xdr:cNvPr id="12" name="Rounded Rectangle 11">
          <a:hlinkClick xmlns:r="http://schemas.openxmlformats.org/officeDocument/2006/relationships" r:id="rId7"/>
          <a:extLst>
            <a:ext uri="{FF2B5EF4-FFF2-40B4-BE49-F238E27FC236}">
              <a16:creationId xmlns:a16="http://schemas.microsoft.com/office/drawing/2014/main" id="{00000000-0008-0000-0300-00000C000000}"/>
            </a:ext>
          </a:extLst>
        </xdr:cNvPr>
        <xdr:cNvSpPr/>
      </xdr:nvSpPr>
      <xdr:spPr>
        <a:xfrm>
          <a:off x="10392994"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ANNUAL </a:t>
          </a:r>
        </a:p>
        <a:p>
          <a:pPr algn="ctr"/>
          <a:r>
            <a:rPr lang="en-US" sz="900">
              <a:solidFill>
                <a:schemeClr val="accent1">
                  <a:lumMod val="40000"/>
                  <a:lumOff val="60000"/>
                </a:schemeClr>
              </a:solidFill>
              <a:latin typeface="+mn-lt"/>
            </a:rPr>
            <a:t>CASH FLOW</a:t>
          </a:r>
        </a:p>
      </xdr:txBody>
    </xdr:sp>
    <xdr:clientData fPrintsWithSheet="0"/>
  </xdr:twoCellAnchor>
  <xdr:twoCellAnchor editAs="absolute">
    <xdr:from>
      <xdr:col>9</xdr:col>
      <xdr:colOff>934745</xdr:colOff>
      <xdr:row>0</xdr:row>
      <xdr:rowOff>57150</xdr:rowOff>
    </xdr:from>
    <xdr:to>
      <xdr:col>10</xdr:col>
      <xdr:colOff>847496</xdr:colOff>
      <xdr:row>0</xdr:row>
      <xdr:rowOff>496062</xdr:rowOff>
    </xdr:to>
    <xdr:sp macro="" textlink="">
      <xdr:nvSpPr>
        <xdr:cNvPr id="13" name="Rounded Rectangle 12">
          <a:hlinkClick xmlns:r="http://schemas.openxmlformats.org/officeDocument/2006/relationships" r:id="rId8"/>
          <a:extLst>
            <a:ext uri="{FF2B5EF4-FFF2-40B4-BE49-F238E27FC236}">
              <a16:creationId xmlns:a16="http://schemas.microsoft.com/office/drawing/2014/main" id="{00000000-0008-0000-0300-00000D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6</xdr:col>
      <xdr:colOff>1201597</xdr:colOff>
      <xdr:row>0</xdr:row>
      <xdr:rowOff>56768</xdr:rowOff>
    </xdr:from>
    <xdr:to>
      <xdr:col>7</xdr:col>
      <xdr:colOff>1114348</xdr:colOff>
      <xdr:row>0</xdr:row>
      <xdr:rowOff>495680</xdr:rowOff>
    </xdr:to>
    <xdr:sp macro="" textlink="">
      <xdr:nvSpPr>
        <xdr:cNvPr id="14" name="Rounded Rectangle 13">
          <a:hlinkClick xmlns:r="http://schemas.openxmlformats.org/officeDocument/2006/relationships" r:id="rId9"/>
          <a:extLst>
            <a:ext uri="{FF2B5EF4-FFF2-40B4-BE49-F238E27FC236}">
              <a16:creationId xmlns:a16="http://schemas.microsoft.com/office/drawing/2014/main" id="{00000000-0008-0000-0300-00000E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5</xdr:col>
      <xdr:colOff>1219200</xdr:colOff>
      <xdr:row>0</xdr:row>
      <xdr:rowOff>56768</xdr:rowOff>
    </xdr:from>
    <xdr:to>
      <xdr:col>6</xdr:col>
      <xdr:colOff>1131951</xdr:colOff>
      <xdr:row>0</xdr:row>
      <xdr:rowOff>495680</xdr:rowOff>
    </xdr:to>
    <xdr:sp macro="" textlink="">
      <xdr:nvSpPr>
        <xdr:cNvPr id="16" name="Rounded Rectangle 15">
          <a:hlinkClick xmlns:r="http://schemas.openxmlformats.org/officeDocument/2006/relationships" r:id="rId10"/>
          <a:extLst>
            <a:ext uri="{FF2B5EF4-FFF2-40B4-BE49-F238E27FC236}">
              <a16:creationId xmlns:a16="http://schemas.microsoft.com/office/drawing/2014/main" id="{00000000-0008-0000-0300-000010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142875</xdr:colOff>
      <xdr:row>1</xdr:row>
      <xdr:rowOff>31750</xdr:rowOff>
    </xdr:from>
    <xdr:to>
      <xdr:col>4</xdr:col>
      <xdr:colOff>495300</xdr:colOff>
      <xdr:row>2</xdr:row>
      <xdr:rowOff>31750</xdr:rowOff>
    </xdr:to>
    <xdr:sp macro="" textlink="">
      <xdr:nvSpPr>
        <xdr:cNvPr id="2" name="Round Same Side Corner Rectangle 18" descr="Rounded rectangle">
          <a:extLst>
            <a:ext uri="{FF2B5EF4-FFF2-40B4-BE49-F238E27FC236}">
              <a16:creationId xmlns:a16="http://schemas.microsoft.com/office/drawing/2014/main" id="{00000000-0008-0000-0400-000002000000}"/>
            </a:ext>
          </a:extLst>
        </xdr:cNvPr>
        <xdr:cNvSpPr/>
      </xdr:nvSpPr>
      <xdr:spPr>
        <a:xfrm>
          <a:off x="301625" y="590550"/>
          <a:ext cx="4829175" cy="55880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5" name="Rounded Rectangle 14">
          <a:hlinkClick xmlns:r="http://schemas.openxmlformats.org/officeDocument/2006/relationships" r:id="rId1"/>
          <a:extLst>
            <a:ext uri="{FF2B5EF4-FFF2-40B4-BE49-F238E27FC236}">
              <a16:creationId xmlns:a16="http://schemas.microsoft.com/office/drawing/2014/main" id="{00000000-0008-0000-0400-00000F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6" name="Rounded Rectangle 15">
          <a:hlinkClick xmlns:r="http://schemas.openxmlformats.org/officeDocument/2006/relationships" r:id="rId2"/>
          <a:extLst>
            <a:ext uri="{FF2B5EF4-FFF2-40B4-BE49-F238E27FC236}">
              <a16:creationId xmlns:a16="http://schemas.microsoft.com/office/drawing/2014/main" id="{00000000-0008-0000-0400-000010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7" name="Rounded Rectangle 16">
          <a:hlinkClick xmlns:r="http://schemas.openxmlformats.org/officeDocument/2006/relationships" r:id="rId3"/>
          <a:extLst>
            <a:ext uri="{FF2B5EF4-FFF2-40B4-BE49-F238E27FC236}">
              <a16:creationId xmlns:a16="http://schemas.microsoft.com/office/drawing/2014/main" id="{00000000-0008-0000-0400-000011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8" name="Rounded Rectangle 17">
          <a:hlinkClick xmlns:r="http://schemas.openxmlformats.org/officeDocument/2006/relationships" r:id="rId4"/>
          <a:extLst>
            <a:ext uri="{FF2B5EF4-FFF2-40B4-BE49-F238E27FC236}">
              <a16:creationId xmlns:a16="http://schemas.microsoft.com/office/drawing/2014/main" id="{00000000-0008-0000-0400-000012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19" name="Rounded Rectangle 18">
          <a:hlinkClick xmlns:r="http://schemas.openxmlformats.org/officeDocument/2006/relationships" r:id="rId5"/>
          <a:extLst>
            <a:ext uri="{FF2B5EF4-FFF2-40B4-BE49-F238E27FC236}">
              <a16:creationId xmlns:a16="http://schemas.microsoft.com/office/drawing/2014/main" id="{00000000-0008-0000-0400-000013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1" name="Rounded Rectangle 20">
          <a:hlinkClick xmlns:r="http://schemas.openxmlformats.org/officeDocument/2006/relationships" r:id="rId6"/>
          <a:extLst>
            <a:ext uri="{FF2B5EF4-FFF2-40B4-BE49-F238E27FC236}">
              <a16:creationId xmlns:a16="http://schemas.microsoft.com/office/drawing/2014/main" id="{00000000-0008-0000-0400-000015000000}"/>
            </a:ext>
          </a:extLst>
        </xdr:cNvPr>
        <xdr:cNvSpPr/>
      </xdr:nvSpPr>
      <xdr:spPr>
        <a:xfrm>
          <a:off x="5400675"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INCOME</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1</xdr:col>
      <xdr:colOff>50800</xdr:colOff>
      <xdr:row>1</xdr:row>
      <xdr:rowOff>31750</xdr:rowOff>
    </xdr:from>
    <xdr:to>
      <xdr:col>4</xdr:col>
      <xdr:colOff>403225</xdr:colOff>
      <xdr:row>2</xdr:row>
      <xdr:rowOff>31750</xdr:rowOff>
    </xdr:to>
    <xdr:sp macro="" textlink="">
      <xdr:nvSpPr>
        <xdr:cNvPr id="4" name="Round Same Side Corner Rectangle 18" descr="Rounded rectangle">
          <a:extLst>
            <a:ext uri="{FF2B5EF4-FFF2-40B4-BE49-F238E27FC236}">
              <a16:creationId xmlns:a16="http://schemas.microsoft.com/office/drawing/2014/main" id="{00000000-0008-0000-0500-000004000000}"/>
            </a:ext>
          </a:extLst>
        </xdr:cNvPr>
        <xdr:cNvSpPr/>
      </xdr:nvSpPr>
      <xdr:spPr>
        <a:xfrm>
          <a:off x="209550" y="590550"/>
          <a:ext cx="4829175" cy="55880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id="{00000000-0008-0000-0500-000010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7" name="Rounded Rectangle 16">
          <a:hlinkClick xmlns:r="http://schemas.openxmlformats.org/officeDocument/2006/relationships" r:id="rId2"/>
          <a:extLst>
            <a:ext uri="{FF2B5EF4-FFF2-40B4-BE49-F238E27FC236}">
              <a16:creationId xmlns:a16="http://schemas.microsoft.com/office/drawing/2014/main" id="{00000000-0008-0000-0500-000011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8" name="Rounded Rectangle 17">
          <a:hlinkClick xmlns:r="http://schemas.openxmlformats.org/officeDocument/2006/relationships" r:id="rId3"/>
          <a:extLst>
            <a:ext uri="{FF2B5EF4-FFF2-40B4-BE49-F238E27FC236}">
              <a16:creationId xmlns:a16="http://schemas.microsoft.com/office/drawing/2014/main" id="{00000000-0008-0000-0500-000012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9" name="Rounded Rectangle 18">
          <a:hlinkClick xmlns:r="http://schemas.openxmlformats.org/officeDocument/2006/relationships" r:id="rId4"/>
          <a:extLst>
            <a:ext uri="{FF2B5EF4-FFF2-40B4-BE49-F238E27FC236}">
              <a16:creationId xmlns:a16="http://schemas.microsoft.com/office/drawing/2014/main" id="{00000000-0008-0000-0500-000013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id="{00000000-0008-0000-0500-000014000000}"/>
            </a:ext>
          </a:extLst>
        </xdr:cNvPr>
        <xdr:cNvSpPr/>
      </xdr:nvSpPr>
      <xdr:spPr>
        <a:xfrm>
          <a:off x="6649897"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id="{00000000-0008-0000-0500-000016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1</xdr:row>
      <xdr:rowOff>38100</xdr:rowOff>
    </xdr:from>
    <xdr:to>
      <xdr:col>4</xdr:col>
      <xdr:colOff>263525</xdr:colOff>
      <xdr:row>2</xdr:row>
      <xdr:rowOff>38100</xdr:rowOff>
    </xdr:to>
    <xdr:sp macro="" textlink="">
      <xdr:nvSpPr>
        <xdr:cNvPr id="4" name="Round Same Side Corner Rectangle 18" descr="Rounded rectangle">
          <a:extLst>
            <a:ext uri="{FF2B5EF4-FFF2-40B4-BE49-F238E27FC236}">
              <a16:creationId xmlns:a16="http://schemas.microsoft.com/office/drawing/2014/main" id="{00000000-0008-0000-0600-000004000000}"/>
            </a:ext>
          </a:extLst>
        </xdr:cNvPr>
        <xdr:cNvSpPr/>
      </xdr:nvSpPr>
      <xdr:spPr>
        <a:xfrm>
          <a:off x="69850" y="596900"/>
          <a:ext cx="4829175" cy="55880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id="{00000000-0008-0000-0600-000010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7" name="Rounded Rectangle 16">
          <a:hlinkClick xmlns:r="http://schemas.openxmlformats.org/officeDocument/2006/relationships" r:id="rId2"/>
          <a:extLst>
            <a:ext uri="{FF2B5EF4-FFF2-40B4-BE49-F238E27FC236}">
              <a16:creationId xmlns:a16="http://schemas.microsoft.com/office/drawing/2014/main" id="{00000000-0008-0000-0600-000011000000}"/>
            </a:ext>
          </a:extLst>
        </xdr:cNvPr>
        <xdr:cNvSpPr/>
      </xdr:nvSpPr>
      <xdr:spPr>
        <a:xfrm>
          <a:off x="7897596"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8" name="Rounded Rectangle 17">
          <a:hlinkClick xmlns:r="http://schemas.openxmlformats.org/officeDocument/2006/relationships" r:id="rId3"/>
          <a:extLst>
            <a:ext uri="{FF2B5EF4-FFF2-40B4-BE49-F238E27FC236}">
              <a16:creationId xmlns:a16="http://schemas.microsoft.com/office/drawing/2014/main" id="{00000000-0008-0000-0600-000012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9" name="Rounded Rectangle 18">
          <a:hlinkClick xmlns:r="http://schemas.openxmlformats.org/officeDocument/2006/relationships" r:id="rId4"/>
          <a:extLst>
            <a:ext uri="{FF2B5EF4-FFF2-40B4-BE49-F238E27FC236}">
              <a16:creationId xmlns:a16="http://schemas.microsoft.com/office/drawing/2014/main" id="{00000000-0008-0000-0600-000013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id="{00000000-0008-0000-0600-000014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id="{00000000-0008-0000-0600-000016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4</xdr:col>
      <xdr:colOff>384175</xdr:colOff>
      <xdr:row>2</xdr:row>
      <xdr:rowOff>31750</xdr:rowOff>
    </xdr:to>
    <xdr:sp macro="" textlink="">
      <xdr:nvSpPr>
        <xdr:cNvPr id="4" name="Round Same Side Corner Rectangle 18" descr="Rounded rectangle">
          <a:extLst>
            <a:ext uri="{FF2B5EF4-FFF2-40B4-BE49-F238E27FC236}">
              <a16:creationId xmlns:a16="http://schemas.microsoft.com/office/drawing/2014/main" id="{00000000-0008-0000-0700-000004000000}"/>
            </a:ext>
          </a:extLst>
        </xdr:cNvPr>
        <xdr:cNvSpPr/>
      </xdr:nvSpPr>
      <xdr:spPr>
        <a:xfrm>
          <a:off x="190500" y="590550"/>
          <a:ext cx="4829175" cy="55880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id="{00000000-0008-0000-0700-000010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7" name="Rounded Rectangle 16">
          <a:hlinkClick xmlns:r="http://schemas.openxmlformats.org/officeDocument/2006/relationships" r:id="rId2"/>
          <a:extLst>
            <a:ext uri="{FF2B5EF4-FFF2-40B4-BE49-F238E27FC236}">
              <a16:creationId xmlns:a16="http://schemas.microsoft.com/office/drawing/2014/main" id="{00000000-0008-0000-0700-000011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8" name="Rounded Rectangle 17">
          <a:hlinkClick xmlns:r="http://schemas.openxmlformats.org/officeDocument/2006/relationships" r:id="rId3"/>
          <a:extLst>
            <a:ext uri="{FF2B5EF4-FFF2-40B4-BE49-F238E27FC236}">
              <a16:creationId xmlns:a16="http://schemas.microsoft.com/office/drawing/2014/main" id="{00000000-0008-0000-0700-000012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9" name="Rounded Rectangle 18">
          <a:hlinkClick xmlns:r="http://schemas.openxmlformats.org/officeDocument/2006/relationships" r:id="rId4"/>
          <a:extLst>
            <a:ext uri="{FF2B5EF4-FFF2-40B4-BE49-F238E27FC236}">
              <a16:creationId xmlns:a16="http://schemas.microsoft.com/office/drawing/2014/main" id="{00000000-0008-0000-0700-000013000000}"/>
            </a:ext>
          </a:extLst>
        </xdr:cNvPr>
        <xdr:cNvSpPr/>
      </xdr:nvSpPr>
      <xdr:spPr>
        <a:xfrm>
          <a:off x="9145295"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id="{00000000-0008-0000-0700-000014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id="{00000000-0008-0000-0700-000016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946.463417939813" backgroundQuery="1" createdVersion="6" refreshedVersion="8" minRefreshableVersion="3" recordCount="0" supportSubquery="1" supportAdvancedDrill="1" xr:uid="{00000000-000A-0000-FFFF-FFFF03000000}">
  <cacheSource type="external" connectionId="1"/>
  <cacheFields count="2">
    <cacheField name="[Savings].[Savings].[Savings]" caption="Savings" numFmtId="0" hierarchy="9" level="1">
      <sharedItems count="5">
        <s v="401(k)/Etc"/>
        <s v="Cash Reserves"/>
        <s v="Other 1"/>
        <s v="Other 2"/>
        <s v="Savings/Investment"/>
      </sharedItems>
    </cacheField>
    <cacheField name="[Measures].[Sum of Annual 4]" caption="Sum of Annual 4" numFmtId="0" hierarchy="21"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2" memberValueDatatype="130" unbalanced="0">
      <fieldsUsage count="2">
        <fieldUsage x="-1"/>
        <fieldUsage x="0"/>
      </fieldsUsage>
    </cacheHierarchy>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946.463421527777" backgroundQuery="1" createdVersion="6" refreshedVersion="8" minRefreshableVersion="3" recordCount="0" supportSubquery="1" supportAdvancedDrill="1" xr:uid="{00000000-000A-0000-FFFF-FFFF02000000}">
  <cacheSource type="external" connectionId="1"/>
  <cacheFields count="2">
    <cacheField name="[Income].[Income].[Income]" caption="Income" numFmtId="0" hierarchy="6" level="1">
      <sharedItems count="6">
        <s v="Commissions/bonus"/>
        <s v="Other 1"/>
        <s v="Other 2"/>
        <s v="Other 3"/>
        <s v="Other 4"/>
        <s v="Salary"/>
      </sharedItems>
    </cacheField>
    <cacheField name="[Measures].[Sum of Annual]" caption="Sum of Annual" numFmtId="0" hierarchy="17"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2" memberValueDatatype="130" unbalanced="0">
      <fieldsUsage count="2">
        <fieldUsage x="-1"/>
        <fieldUsage x="0"/>
      </fieldsUsage>
    </cacheHierarchy>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946.463424189817" backgroundQuery="1" createdVersion="6" refreshedVersion="8" minRefreshableVersion="3" recordCount="0" supportSubquery="1" supportAdvancedDrill="1" xr:uid="{00000000-000A-0000-FFFF-FFFF00000000}">
  <cacheSource type="external" connectionId="1"/>
  <cacheFields count="2">
    <cacheField name="[Expenses].[Expenses].[Expenses]" caption="Expenses" numFmtId="0" hierarchy="3" level="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numFmtId="0" hierarchy="20"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2" memberValueDatatype="130" unbalanced="0">
      <fieldsUsage count="2">
        <fieldUsage x="-1"/>
        <fieldUsage x="0"/>
      </fieldsUsage>
    </cacheHierarchy>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946.463427314811" backgroundQuery="1" createdVersion="6" refreshedVersion="8" minRefreshableVersion="3" recordCount="0" supportSubquery="1" supportAdvancedDrill="1" xr:uid="{00000000-000A-0000-FFFF-FFFF01000000}">
  <cacheSource type="external" connectionId="1"/>
  <cacheFields count="2">
    <cacheField name="[Discretionary].[Expenses].[Expenses]" caption="Expenses" numFmtId="0" level="1">
      <sharedItems count="11">
        <s v="Charity"/>
        <s v="Club/Memberships"/>
        <s v="Dining"/>
        <s v="Entertainment"/>
        <s v="Gifts"/>
        <s v="Home Improvements"/>
        <s v="Other 1"/>
        <s v="Other 2"/>
        <s v="Personal Care"/>
        <s v="Shopping"/>
        <s v="Travel"/>
      </sharedItems>
    </cacheField>
    <cacheField name="[Measures].[Sum of Annual 2]" caption="Sum of Annual 2" numFmtId="0" hierarchy="18" level="32767"/>
  </cacheFields>
  <cacheHierarchies count="22">
    <cacheHierarchy uniqueName="[Discretionary].[Expenses]" caption="Expenses" attribute="1" defaultMemberUniqueName="[Discretionary].[Expenses].[All]" allUniqueName="[Discretionary].[Expenses].[All]" dimensionUniqueName="[Discretionary]" displayFolder="" count="2" memberValueDatatype="130" unbalanced="0">
      <fieldsUsage count="2">
        <fieldUsage x="-1"/>
        <fieldUsage x="0"/>
      </fieldsUsage>
    </cacheHierarchy>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VT_Savings" cacheId="6012"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1">
  <location ref="AA10:AB16" firstHeaderRow="1" firstDataRow="1" firstDataCol="1"/>
  <pivotFields count="2">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2"/>
    </i>
    <i>
      <x v="3"/>
    </i>
    <i>
      <x v="1"/>
    </i>
    <i>
      <x v="4"/>
    </i>
    <i>
      <x/>
    </i>
    <i t="grand">
      <x/>
    </i>
  </rowItems>
  <colItems count="1">
    <i/>
  </colItems>
  <dataFields count="1">
    <dataField name="Sum of Annual" fld="1" baseField="0" baseItem="2" numFmtId="169"/>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Savings">
        <x15:activeTabTopLevelEntity name="[Saving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VT_Expenses1" cacheId="6014"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1">
  <location ref="U10:V29" firstHeaderRow="1" firstDataRow="1" firstDataCol="1"/>
  <pivotFields count="2">
    <pivotField axis="axisRow" allDrilled="1" showAll="0" sortType="ascending" defaultAttributeDrillState="1">
      <items count="19">
        <item x="0"/>
        <item x="1"/>
        <item x="2"/>
        <item x="3"/>
        <item x="4"/>
        <item x="5"/>
        <item x="6"/>
        <item x="7"/>
        <item x="8"/>
        <item x="9"/>
        <item x="10"/>
        <item x="11"/>
        <item x="12"/>
        <item x="13"/>
        <item x="14"/>
        <item x="15"/>
        <item x="16"/>
        <item x="1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9">
    <i>
      <x v="11"/>
    </i>
    <i>
      <x v="12"/>
    </i>
    <i>
      <x v="5"/>
    </i>
    <i>
      <x v="16"/>
    </i>
    <i>
      <x v="7"/>
    </i>
    <i>
      <x v="8"/>
    </i>
    <i>
      <x v="6"/>
    </i>
    <i>
      <x v="17"/>
    </i>
    <i>
      <x v="13"/>
    </i>
    <i>
      <x v="9"/>
    </i>
    <i>
      <x v="2"/>
    </i>
    <i>
      <x/>
    </i>
    <i>
      <x v="1"/>
    </i>
    <i>
      <x v="14"/>
    </i>
    <i>
      <x v="15"/>
    </i>
    <i>
      <x v="4"/>
    </i>
    <i>
      <x v="3"/>
    </i>
    <i>
      <x v="10"/>
    </i>
    <i t="grand">
      <x/>
    </i>
  </rowItems>
  <colItems count="1">
    <i/>
  </colItems>
  <dataFields count="1">
    <dataField name="Sum of Annual" fld="1" baseField="0" baseItem="7" numFmtId="5"/>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Expenses">
        <x15:activeTabTopLevelEntity name="[Expense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VT_Expenses2" cacheId="6015"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1">
  <location ref="X10:Y22" firstHeaderRow="1" firstDataRow="1" firstDataCol="1"/>
  <pivotFields count="2">
    <pivotField axis="axisRow" allDrilled="1" showAll="0" sortType="a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2">
    <i>
      <x v="7"/>
    </i>
    <i>
      <x v="6"/>
    </i>
    <i>
      <x v="1"/>
    </i>
    <i>
      <x v="8"/>
    </i>
    <i>
      <x v="4"/>
    </i>
    <i>
      <x/>
    </i>
    <i>
      <x v="3"/>
    </i>
    <i>
      <x v="2"/>
    </i>
    <i>
      <x v="9"/>
    </i>
    <i>
      <x v="10"/>
    </i>
    <i>
      <x v="5"/>
    </i>
    <i t="grand">
      <x/>
    </i>
  </rowItems>
  <colItems count="1">
    <i/>
  </colItems>
  <dataFields count="1">
    <dataField name="Sum of Annual" fld="1" baseField="0" baseItem="6" numFmtId="169"/>
  </dataFields>
  <chartFormats count="1">
    <chartFormat chart="0"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Discretionary">
        <x15:activeTabTopLevelEntity name="[Discretionary]"/>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VT_Income" cacheId="6013"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1">
  <location ref="R10:S17" firstHeaderRow="1" firstDataRow="1" firstDataCol="1"/>
  <pivotFields count="2">
    <pivotField axis="axisRow" allDrilled="1"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2"/>
    </i>
    <i>
      <x v="3"/>
    </i>
    <i>
      <x v="4"/>
    </i>
    <i>
      <x/>
    </i>
    <i>
      <x v="1"/>
    </i>
    <i>
      <x v="5"/>
    </i>
    <i t="grand">
      <x/>
    </i>
  </rowItems>
  <colItems count="1">
    <i/>
  </colItems>
  <dataFields count="1">
    <dataField name="Annual Income" fld="1" baseField="0" baseItem="1" numFmtId="169"/>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Income">
        <x15:activeTabTopLevelEntity name="[Income]"/>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Daily" displayName="Daily" ref="B11:F55" totalsRowCount="1" headerRowDxfId="83" dataDxfId="82" totalsRowDxfId="81">
  <autoFilter ref="B11:F54" xr:uid="{00000000-0009-0000-0100-00000C000000}"/>
  <tableColumns count="5">
    <tableColumn id="1" xr3:uid="{00000000-0010-0000-0000-000001000000}" name="Type" totalsRowLabel="Total" dataDxfId="79" totalsRowDxfId="80" dataCellStyle="Comma" totalsRowCellStyle="Comma"/>
    <tableColumn id="2" xr3:uid="{00000000-0010-0000-0000-000002000000}" name="Description" dataDxfId="77" totalsRowDxfId="78"/>
    <tableColumn id="3" xr3:uid="{00000000-0010-0000-0000-000003000000}" name="Daily" totalsRowFunction="custom" dataDxfId="75" totalsRowDxfId="76">
      <totalsRowFormula>SUMIF(Daily[Type],"Income",Daily[Daily])-SUMIF(Daily[Type],"&lt;&gt;Income",Daily[Daily])</totalsRowFormula>
    </tableColumn>
    <tableColumn id="14" xr3:uid="{00000000-0010-0000-0000-00000E000000}" name="Monthly" totalsRowFunction="custom" dataDxfId="73" totalsRowDxfId="74">
      <calculatedColumnFormula>Daily[[#This Row],[Annual]]/12</calculatedColumnFormula>
      <totalsRowFormula>SUMIF(Daily[Type],"Income",Daily[Monthly])-SUMIF(Daily[Type],"&lt;&gt;Income",Daily[Monthly])</totalsRowFormula>
    </tableColumn>
    <tableColumn id="15" xr3:uid="{00000000-0010-0000-0000-00000F000000}"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extLst>
    <ext xmlns:x14="http://schemas.microsoft.com/office/spreadsheetml/2009/9/main" uri="{504A1905-F514-4f6f-8877-14C23A59335A}">
      <x14:table altTextSummary="Select Type, enter description and daily cash, and Monthly and Annual cash flows are automatically calculated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Monthly" displayName="Monthly" ref="B4:P48" totalsRowCount="1" headerRowDxfId="68" dataDxfId="67" totalsRowDxfId="66" headerRowBorderDxfId="65" headerRowCellStyle="Heading 3">
  <autoFilter ref="B4:P47" xr:uid="{00000000-0009-0000-0100-00000B000000}"/>
  <tableColumns count="15">
    <tableColumn id="1" xr3:uid="{00000000-0010-0000-0100-000001000000}" name="Type" totalsRowLabel="Total" dataDxfId="63" totalsRowDxfId="64"/>
    <tableColumn id="2" xr3:uid="{00000000-0010-0000-0100-000002000000}" name="Description" dataDxfId="61" totalsRowDxfId="62"/>
    <tableColumn id="3" xr3:uid="{00000000-0010-0000-0100-000003000000}" name="Jan" totalsRowFunction="custom" dataDxfId="59" totalsRowDxfId="60">
      <totalsRowFormula>SUMIF(Monthly[Type],"Income",Monthly[Jan])-SUMIF(Monthly[Type],"&lt;&gt;Income",Monthly[Jan])</totalsRowFormula>
    </tableColumn>
    <tableColumn id="4" xr3:uid="{00000000-0010-0000-0100-000004000000}" name="Feb" totalsRowFunction="custom" dataDxfId="57" totalsRowDxfId="58">
      <totalsRowFormula>SUMIF(Monthly[Type],"Income",Monthly[Feb])-SUMIF(Monthly[Type],"&lt;&gt;Income",Monthly[Feb])</totalsRowFormula>
    </tableColumn>
    <tableColumn id="5" xr3:uid="{00000000-0010-0000-0100-000005000000}" name="Mar" totalsRowFunction="custom" dataDxfId="55" totalsRowDxfId="56">
      <totalsRowFormula>SUMIF(Monthly[Type],"Income",Monthly[Mar])-SUMIF(Monthly[Type],"&lt;&gt;Income",Monthly[Mar])</totalsRowFormula>
    </tableColumn>
    <tableColumn id="6" xr3:uid="{00000000-0010-0000-0100-000006000000}" name="Apr" totalsRowFunction="custom" dataDxfId="53" totalsRowDxfId="54">
      <totalsRowFormula>SUMIF(Monthly[Type],"Income",Monthly[Apr])-SUMIF(Monthly[Type],"&lt;&gt;Income",Monthly[Apr])</totalsRowFormula>
    </tableColumn>
    <tableColumn id="7" xr3:uid="{00000000-0010-0000-0100-000007000000}" name="May" totalsRowFunction="custom" dataDxfId="51" totalsRowDxfId="52">
      <totalsRowFormula>SUMIF(Monthly[Type],"Income",Monthly[May])-SUMIF(Monthly[Type],"&lt;&gt;Income",Monthly[May])</totalsRowFormula>
    </tableColumn>
    <tableColumn id="8" xr3:uid="{00000000-0010-0000-0100-000008000000}" name="Jun" totalsRowFunction="custom" dataDxfId="49" totalsRowDxfId="50">
      <totalsRowFormula>SUMIF(Monthly[Type],"Income",Monthly[Jun])-SUMIF(Monthly[Type],"&lt;&gt;Income",Monthly[Jun])</totalsRowFormula>
    </tableColumn>
    <tableColumn id="9" xr3:uid="{00000000-0010-0000-0100-000009000000}" name="Jul" totalsRowFunction="custom" dataDxfId="47" totalsRowDxfId="48">
      <totalsRowFormula>SUMIF(Monthly[Type],"Income",Monthly[Jul])-SUMIF(Monthly[Type],"&lt;&gt;Income",Monthly[Jul])</totalsRowFormula>
    </tableColumn>
    <tableColumn id="10" xr3:uid="{00000000-0010-0000-0100-00000A000000}" name="Aug" totalsRowFunction="custom" dataDxfId="45" totalsRowDxfId="46">
      <totalsRowFormula>SUMIF(Monthly[Type],"Income",Monthly[Aug])-SUMIF(Monthly[Type],"&lt;&gt;Income",Monthly[Aug])</totalsRowFormula>
    </tableColumn>
    <tableColumn id="11" xr3:uid="{00000000-0010-0000-0100-00000B000000}" name="Sep" totalsRowFunction="custom" dataDxfId="43" totalsRowDxfId="44">
      <totalsRowFormula>SUMIF(Monthly[Type],"Income",Monthly[Sep])-SUMIF(Monthly[Type],"&lt;&gt;Income",Monthly[Sep])</totalsRowFormula>
    </tableColumn>
    <tableColumn id="12" xr3:uid="{00000000-0010-0000-0100-00000C000000}" name="Oct" totalsRowFunction="custom" dataDxfId="41" totalsRowDxfId="42">
      <totalsRowFormula>SUMIF(Monthly[Type],"Income",Monthly[Oct])-SUMIF(Monthly[Type],"&lt;&gt;Income",Monthly[Oct])</totalsRowFormula>
    </tableColumn>
    <tableColumn id="13" xr3:uid="{00000000-0010-0000-0100-00000D000000}" name="Nov" totalsRowFunction="custom" dataDxfId="39" totalsRowDxfId="40">
      <totalsRowFormula>SUMIF(Monthly[Type],"Income",Monthly[Nov])-SUMIF(Monthly[Type],"&lt;&gt;Income",Monthly[Nov])</totalsRowFormula>
    </tableColumn>
    <tableColumn id="14" xr3:uid="{00000000-0010-0000-0100-00000E000000}" name="Dec" totalsRowFunction="custom" dataDxfId="37" totalsRowDxfId="38">
      <totalsRowFormula>SUMIF(Monthly[Type],"Income",Monthly[Dec])-SUMIF(Monthly[Type],"&lt;&gt;Income",Monthly[Dec])</totalsRowFormula>
    </tableColumn>
    <tableColumn id="15" xr3:uid="{00000000-0010-0000-0100-00000F000000}"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extLst>
    <ext xmlns:x14="http://schemas.microsoft.com/office/spreadsheetml/2009/9/main" uri="{504A1905-F514-4f6f-8877-14C23A59335A}">
      <x14:table altTextSummary="Select Type and enter Description and cash flow for each month in this table. Total and sparklines are automatically update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Income" displayName="Income" ref="B4:D11" totalsRowCount="1" headerRowDxfId="34" dataDxfId="33" totalsRowDxfId="32">
  <tableColumns count="3">
    <tableColumn id="1" xr3:uid="{00000000-0010-0000-0200-000001000000}" name="Income" totalsRowLabel="Total" dataDxfId="30" totalsRowDxfId="31"/>
    <tableColumn id="2" xr3:uid="{00000000-0010-0000-0200-000002000000}" name="Annual  " totalsRowFunction="sum" dataDxfId="28" totalsRowDxfId="29"/>
    <tableColumn id="3" xr3:uid="{00000000-0010-0000-0200-000003000000}" name="Monthly " totalsRowFunction="sum" dataDxfId="26" totalsRowDxfId="27">
      <calculatedColumnFormula>Income[[#This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Income items and Annual income in this table. Monthly income is automatically calcul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Expenses" displayName="Expenses" ref="B4:D23" totalsRowCount="1" headerRowDxfId="25" dataDxfId="24" totalsRowDxfId="23">
  <tableColumns count="3">
    <tableColumn id="1" xr3:uid="{00000000-0010-0000-0300-000001000000}" name="Expenses" totalsRowLabel="Total" totalsRowDxfId="22"/>
    <tableColumn id="2" xr3:uid="{00000000-0010-0000-0300-000002000000}" name="Annual  " totalsRowFunction="sum" dataDxfId="20" totalsRowDxfId="21"/>
    <tableColumn id="3" xr3:uid="{00000000-0010-0000-0300-000003000000}" name="Monthly " totalsRowFunction="sum" dataDxfId="18" totalsRowDxfId="19">
      <calculatedColumnFormula>Expenses[[#This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Expense items and Annual expenses in this table. Monthly expenses are automatically calculate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4000000}" name="Discretionary" displayName="Discretionary" ref="B4:D16" totalsRowCount="1" headerRowDxfId="17" dataDxfId="16" totalsRowDxfId="15">
  <tableColumns count="3">
    <tableColumn id="1" xr3:uid="{00000000-0010-0000-0400-000001000000}" name="Expenses" totalsRowLabel="Total" dataDxfId="13" totalsRowDxfId="14"/>
    <tableColumn id="2" xr3:uid="{00000000-0010-0000-0400-000002000000}" name="Annual  " totalsRowFunction="sum" dataDxfId="11" totalsRowDxfId="12"/>
    <tableColumn id="3" xr3:uid="{00000000-0010-0000-0400-000003000000}"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Discretionary Expense items and Annual discretionary expenses in this table. Monthly discretionary expenses are automatically calculated"/>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5000000}" name="Savings" displayName="Savings" ref="B4:D10" totalsRowCount="1" headerRowDxfId="8" dataDxfId="7" totalsRowDxfId="6">
  <tableColumns count="3">
    <tableColumn id="1" xr3:uid="{00000000-0010-0000-0500-000001000000}" name="Savings" totalsRowLabel="Total" dataDxfId="4" totalsRowDxfId="5"/>
    <tableColumn id="2" xr3:uid="{00000000-0010-0000-0500-000002000000}" name="Annual  " totalsRowFunction="sum" dataDxfId="2" totalsRowDxfId="3"/>
    <tableColumn id="3" xr3:uid="{00000000-0010-0000-0500-000003000000}" name="Monthly " totalsRowFunction="sum" dataDxfId="0" totalsRowDxfId="1">
      <calculatedColumnFormula>Savings[[#This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Savings items and Annual savings in this table. Monthly savings are automatically calculated"/>
    </ext>
  </extLst>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A1:L7"/>
  <sheetViews>
    <sheetView showGridLines="0" tabSelected="1" zoomScaleNormal="100" workbookViewId="0"/>
  </sheetViews>
  <sheetFormatPr defaultColWidth="8.88671875" defaultRowHeight="13.9"/>
  <cols>
    <col min="1" max="1" width="1.77734375" style="2" customWidth="1"/>
    <col min="2" max="2" width="30.33203125" style="2" customWidth="1"/>
    <col min="3" max="3" width="1.33203125" style="2" customWidth="1"/>
    <col min="4" max="4" width="1.77734375" style="2" customWidth="1"/>
    <col min="5" max="5" width="30.33203125" style="2" customWidth="1"/>
    <col min="6" max="6" width="1.33203125" style="2" customWidth="1"/>
    <col min="7" max="7" width="1.77734375" style="2" customWidth="1"/>
    <col min="8" max="8" width="30.33203125" style="2" customWidth="1"/>
    <col min="9" max="9" width="1.33203125" style="2" customWidth="1"/>
    <col min="10" max="11" width="14.77734375" style="2" customWidth="1"/>
    <col min="12" max="12" width="1.77734375" style="2" customWidth="1"/>
    <col min="13" max="16384" width="8.88671875" style="2"/>
  </cols>
  <sheetData>
    <row r="1" spans="1:12" s="13" customFormat="1" ht="43.5" customHeight="1">
      <c r="A1" s="17"/>
      <c r="L1" s="13" t="s">
        <v>0</v>
      </c>
    </row>
    <row r="2" spans="1:12" s="5" customFormat="1" ht="75" customHeight="1">
      <c r="B2" s="100" t="s">
        <v>1</v>
      </c>
      <c r="C2" s="100"/>
      <c r="D2" s="100"/>
      <c r="E2" s="100"/>
      <c r="F2" s="100"/>
      <c r="G2" s="100"/>
      <c r="H2" s="100"/>
      <c r="I2" s="12"/>
    </row>
    <row r="3" spans="1:12" s="59" customFormat="1" ht="43.5" customHeight="1">
      <c r="B3" s="91" t="s">
        <v>2</v>
      </c>
      <c r="C3" s="91"/>
      <c r="D3" s="91"/>
      <c r="E3" s="91"/>
      <c r="F3" s="91"/>
      <c r="G3" s="91"/>
      <c r="H3" s="91"/>
      <c r="I3" s="91"/>
    </row>
    <row r="4" spans="1:12" ht="9" customHeight="1"/>
    <row r="5" spans="1:12" s="4" customFormat="1" ht="36" customHeight="1">
      <c r="B5" s="11" t="s">
        <v>3</v>
      </c>
      <c r="C5" s="11"/>
      <c r="E5" s="10" t="s">
        <v>4</v>
      </c>
      <c r="F5" s="10"/>
      <c r="H5" s="9" t="s">
        <v>5</v>
      </c>
      <c r="I5" s="9"/>
    </row>
    <row r="6" spans="1:12" ht="9" customHeight="1">
      <c r="B6" s="6"/>
      <c r="C6" s="6"/>
      <c r="E6" s="8"/>
      <c r="F6" s="8"/>
      <c r="H6" s="7"/>
      <c r="I6" s="7"/>
    </row>
    <row r="7" spans="1:12" s="25" customFormat="1" ht="111" customHeight="1">
      <c r="B7" s="58" t="s">
        <v>6</v>
      </c>
      <c r="C7" s="28"/>
      <c r="E7" s="57" t="s">
        <v>7</v>
      </c>
      <c r="F7" s="27"/>
      <c r="H7" s="56" t="s">
        <v>8</v>
      </c>
      <c r="I7" s="26"/>
    </row>
  </sheetData>
  <mergeCells count="2">
    <mergeCell ref="B2:H2"/>
    <mergeCell ref="B3:I3"/>
  </mergeCells>
  <printOptions horizontalCentered="1"/>
  <pageMargins left="0.25" right="0.25" top="0.5" bottom="0.5" header="0.5" footer="0.5"/>
  <pageSetup scale="82" fitToHeight="0" orientation="landscape" r:id="rId1"/>
  <headerFooter differentFirst="1">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autoPageBreaks="0" fitToPage="1"/>
  </sheetPr>
  <dimension ref="A1:I55"/>
  <sheetViews>
    <sheetView showGridLines="0" zoomScaleNormal="100" workbookViewId="0"/>
  </sheetViews>
  <sheetFormatPr defaultColWidth="16.6640625" defaultRowHeight="30" customHeight="1"/>
  <cols>
    <col min="1" max="1" width="1.77734375" style="34" customWidth="1"/>
    <col min="2" max="2" width="14.77734375" style="34" customWidth="1"/>
    <col min="3" max="3" width="18.77734375" style="34" customWidth="1"/>
    <col min="4" max="5" width="16.6640625" style="34"/>
    <col min="6" max="9" width="14.77734375" style="34" customWidth="1"/>
    <col min="10" max="10" width="1.77734375" style="34" customWidth="1"/>
    <col min="11" max="16384" width="16.6640625" style="34"/>
  </cols>
  <sheetData>
    <row r="1" spans="1:9" s="16" customFormat="1" ht="44.1" customHeight="1">
      <c r="A1" s="18"/>
      <c r="B1" s="16" t="s">
        <v>1</v>
      </c>
    </row>
    <row r="2" spans="1:9" s="3" customFormat="1" ht="44.1" customHeight="1">
      <c r="B2" s="85"/>
      <c r="C2" s="85" t="s">
        <v>9</v>
      </c>
      <c r="D2" s="101">
        <f>DailyCashFlow</f>
        <v>577.83999999999992</v>
      </c>
      <c r="E2" s="101"/>
      <c r="F2" s="92" t="s">
        <v>10</v>
      </c>
      <c r="G2" s="92"/>
      <c r="H2" s="92"/>
      <c r="I2" s="92"/>
    </row>
    <row r="3" spans="1:9" s="3" customFormat="1" ht="33.950000000000003" customHeight="1">
      <c r="B3" s="44"/>
      <c r="C3" s="44"/>
      <c r="D3" s="45"/>
      <c r="E3" s="45"/>
      <c r="F3" s="41"/>
      <c r="G3" s="41"/>
      <c r="H3" s="41"/>
      <c r="I3" s="41"/>
    </row>
    <row r="4" spans="1:9" s="25" customFormat="1" ht="33.75" customHeight="1" thickBot="1">
      <c r="B4" s="50" t="s">
        <v>11</v>
      </c>
      <c r="C4" s="52"/>
      <c r="D4" s="52"/>
      <c r="E4" s="52"/>
      <c r="F4" s="24"/>
      <c r="G4" s="24"/>
      <c r="H4" s="24"/>
    </row>
    <row r="5" spans="1:9" s="46" customFormat="1" ht="30" customHeight="1">
      <c r="B5" s="54" t="s">
        <v>12</v>
      </c>
      <c r="C5" s="55" t="s">
        <v>13</v>
      </c>
      <c r="D5" s="55" t="s">
        <v>14</v>
      </c>
      <c r="E5" s="55" t="s">
        <v>15</v>
      </c>
    </row>
    <row r="6" spans="1:9" s="25" customFormat="1" ht="30" customHeight="1">
      <c r="B6" s="47" t="s">
        <v>16</v>
      </c>
      <c r="C6" s="48">
        <f>SUMIF(Daily[Type],$B6,Daily[Daily])</f>
        <v>342.47</v>
      </c>
      <c r="D6" s="48">
        <f>SUMIF(Daily[Type],$B6,Daily[Monthly])</f>
        <v>10416.795833333334</v>
      </c>
      <c r="E6" s="48">
        <f>SUMIF(Daily[Type],$B6,Daily[Annual])</f>
        <v>125001.55000000002</v>
      </c>
    </row>
    <row r="7" spans="1:9" s="25" customFormat="1" ht="30" customHeight="1">
      <c r="B7" s="49" t="s">
        <v>17</v>
      </c>
      <c r="C7" s="48">
        <f>SUMIF(Daily[Type],$B7,Daily[Daily])</f>
        <v>136.05999999999997</v>
      </c>
      <c r="D7" s="48">
        <f>SUMIF(Daily[Type],$B7,Daily[Monthly])</f>
        <v>4138.4916666666668</v>
      </c>
      <c r="E7" s="48">
        <f>SUMIF(Daily[Type],$B7,Daily[Annual])</f>
        <v>49661.899999999994</v>
      </c>
    </row>
    <row r="8" spans="1:9" s="25" customFormat="1" ht="30" customHeight="1">
      <c r="B8" s="49" t="s">
        <v>18</v>
      </c>
      <c r="C8" s="48">
        <f>SUMIF(Daily[Type],$B8,Daily[Daily])</f>
        <v>36.29</v>
      </c>
      <c r="D8" s="48">
        <f>SUMIF(Daily[Type],$B8,Daily[Monthly])</f>
        <v>1103.8208333333334</v>
      </c>
      <c r="E8" s="48">
        <f>SUMIF(Daily[Type],$B8,Daily[Annual])</f>
        <v>13245.849999999999</v>
      </c>
    </row>
    <row r="9" spans="1:9" s="25" customFormat="1" ht="30" customHeight="1">
      <c r="B9" s="49" t="s">
        <v>19</v>
      </c>
      <c r="C9" s="48">
        <f>SUMIF(Daily[Type],$B9,Daily[Daily])</f>
        <v>63.019999999999996</v>
      </c>
      <c r="D9" s="48">
        <f>SUMIF(Daily[Type],$B9,Daily[Monthly])</f>
        <v>1916.8583333333333</v>
      </c>
      <c r="E9" s="48">
        <f>SUMIF(Daily[Type],$B9,Daily[Annual])</f>
        <v>23002.300000000003</v>
      </c>
    </row>
    <row r="10" spans="1:9" s="3" customFormat="1" ht="33.950000000000003" customHeight="1">
      <c r="B10" s="44"/>
      <c r="C10" s="44"/>
      <c r="D10" s="45"/>
      <c r="E10" s="45"/>
      <c r="F10" s="41"/>
      <c r="G10" s="41"/>
      <c r="H10" s="41"/>
      <c r="I10" s="41"/>
    </row>
    <row r="11" spans="1:9" s="25" customFormat="1" ht="33.950000000000003" customHeight="1">
      <c r="B11" s="62" t="s">
        <v>20</v>
      </c>
      <c r="C11" s="53" t="s">
        <v>21</v>
      </c>
      <c r="D11" s="53" t="s">
        <v>13</v>
      </c>
      <c r="E11" s="53" t="s">
        <v>14</v>
      </c>
      <c r="F11" s="53" t="s">
        <v>22</v>
      </c>
    </row>
    <row r="12" spans="1:9" ht="30" customHeight="1">
      <c r="B12" s="51" t="s">
        <v>16</v>
      </c>
      <c r="C12" s="34" t="s">
        <v>23</v>
      </c>
      <c r="D12" s="43">
        <v>246.58</v>
      </c>
      <c r="E12" s="43">
        <f>Daily[[#This Row],[Annual]]/12</f>
        <v>7500.1416666666673</v>
      </c>
      <c r="F12" s="43">
        <f>Daily[[#This Row],[Daily]]*365</f>
        <v>90001.700000000012</v>
      </c>
    </row>
    <row r="13" spans="1:9" ht="30" customHeight="1">
      <c r="B13" s="51" t="s">
        <v>16</v>
      </c>
      <c r="C13" s="34" t="s">
        <v>24</v>
      </c>
      <c r="D13" s="43">
        <v>13.7</v>
      </c>
      <c r="E13" s="43">
        <f>Daily[[#This Row],[Annual]]/12</f>
        <v>416.70833333333331</v>
      </c>
      <c r="F13" s="43">
        <f>Daily[[#This Row],[Daily]]*365</f>
        <v>5000.5</v>
      </c>
    </row>
    <row r="14" spans="1:9" ht="30" customHeight="1">
      <c r="B14" s="51" t="s">
        <v>16</v>
      </c>
      <c r="C14" s="34" t="s">
        <v>25</v>
      </c>
      <c r="D14" s="43">
        <v>82.19</v>
      </c>
      <c r="E14" s="43">
        <f>Daily[[#This Row],[Annual]]/12</f>
        <v>2499.9458333333332</v>
      </c>
      <c r="F14" s="43">
        <f>Daily[[#This Row],[Daily]]*365</f>
        <v>29999.35</v>
      </c>
    </row>
    <row r="15" spans="1:9" ht="30" customHeight="1">
      <c r="B15" s="51" t="s">
        <v>16</v>
      </c>
      <c r="C15" s="34" t="s">
        <v>26</v>
      </c>
      <c r="D15" s="43">
        <v>0</v>
      </c>
      <c r="E15" s="43">
        <f>Daily[[#This Row],[Annual]]/12</f>
        <v>0</v>
      </c>
      <c r="F15" s="43">
        <f>Daily[[#This Row],[Daily]]*365</f>
        <v>0</v>
      </c>
    </row>
    <row r="16" spans="1:9" ht="30" customHeight="1">
      <c r="B16" s="51" t="s">
        <v>16</v>
      </c>
      <c r="C16" s="34" t="s">
        <v>27</v>
      </c>
      <c r="D16" s="43">
        <v>0</v>
      </c>
      <c r="E16" s="43">
        <f>Daily[[#This Row],[Annual]]/12</f>
        <v>0</v>
      </c>
      <c r="F16" s="43">
        <f>Daily[[#This Row],[Daily]]*365</f>
        <v>0</v>
      </c>
    </row>
    <row r="17" spans="2:6" ht="30" customHeight="1">
      <c r="B17" s="51" t="s">
        <v>16</v>
      </c>
      <c r="C17" s="34" t="s">
        <v>28</v>
      </c>
      <c r="D17" s="43">
        <v>0</v>
      </c>
      <c r="E17" s="43">
        <f>Daily[[#This Row],[Annual]]/12</f>
        <v>0</v>
      </c>
      <c r="F17" s="43">
        <f>Daily[[#This Row],[Daily]]*365</f>
        <v>0</v>
      </c>
    </row>
    <row r="18" spans="2:6" ht="30" customHeight="1">
      <c r="B18" s="51" t="s">
        <v>17</v>
      </c>
      <c r="C18" s="34" t="s">
        <v>29</v>
      </c>
      <c r="D18" s="43">
        <v>41.1</v>
      </c>
      <c r="E18" s="43">
        <f>Daily[[#This Row],[Annual]]/12</f>
        <v>1250.125</v>
      </c>
      <c r="F18" s="43">
        <f>Daily[[#This Row],[Daily]]*365</f>
        <v>15001.5</v>
      </c>
    </row>
    <row r="19" spans="2:6" ht="30" customHeight="1">
      <c r="B19" s="51" t="s">
        <v>17</v>
      </c>
      <c r="C19" s="34" t="s">
        <v>30</v>
      </c>
      <c r="D19" s="43">
        <v>6.85</v>
      </c>
      <c r="E19" s="43">
        <f>Daily[[#This Row],[Annual]]/12</f>
        <v>208.35416666666666</v>
      </c>
      <c r="F19" s="43">
        <f>Daily[[#This Row],[Daily]]*365</f>
        <v>2500.25</v>
      </c>
    </row>
    <row r="20" spans="2:6" ht="30" customHeight="1">
      <c r="B20" s="51" t="s">
        <v>17</v>
      </c>
      <c r="C20" s="34" t="s">
        <v>31</v>
      </c>
      <c r="D20" s="43">
        <v>0.55000000000000004</v>
      </c>
      <c r="E20" s="43">
        <f>Daily[[#This Row],[Annual]]/12</f>
        <v>16.729166666666668</v>
      </c>
      <c r="F20" s="43">
        <f>Daily[[#This Row],[Daily]]*365</f>
        <v>200.75000000000003</v>
      </c>
    </row>
    <row r="21" spans="2:6" ht="30" customHeight="1">
      <c r="B21" s="51" t="s">
        <v>17</v>
      </c>
      <c r="C21" s="34" t="s">
        <v>32</v>
      </c>
      <c r="D21" s="43">
        <v>10.96</v>
      </c>
      <c r="E21" s="43">
        <f>Daily[[#This Row],[Annual]]/12</f>
        <v>333.36666666666667</v>
      </c>
      <c r="F21" s="43">
        <f>Daily[[#This Row],[Daily]]*365</f>
        <v>4000.4</v>
      </c>
    </row>
    <row r="22" spans="2:6" ht="30" customHeight="1">
      <c r="B22" s="51" t="s">
        <v>17</v>
      </c>
      <c r="C22" s="34" t="s">
        <v>33</v>
      </c>
      <c r="D22" s="43">
        <v>41.1</v>
      </c>
      <c r="E22" s="43">
        <f>Daily[[#This Row],[Annual]]/12</f>
        <v>1250.125</v>
      </c>
      <c r="F22" s="43">
        <f>Daily[[#This Row],[Daily]]*365</f>
        <v>15001.5</v>
      </c>
    </row>
    <row r="23" spans="2:6" ht="30" customHeight="1">
      <c r="B23" s="51" t="s">
        <v>17</v>
      </c>
      <c r="C23" s="34" t="s">
        <v>34</v>
      </c>
      <c r="D23" s="43">
        <v>0.68</v>
      </c>
      <c r="E23" s="43">
        <f>Daily[[#This Row],[Annual]]/12</f>
        <v>20.683333333333334</v>
      </c>
      <c r="F23" s="43">
        <f>Daily[[#This Row],[Daily]]*365</f>
        <v>248.20000000000002</v>
      </c>
    </row>
    <row r="24" spans="2:6" ht="30" customHeight="1">
      <c r="B24" s="51" t="s">
        <v>17</v>
      </c>
      <c r="C24" s="34" t="s">
        <v>35</v>
      </c>
      <c r="D24" s="43">
        <v>3.29</v>
      </c>
      <c r="E24" s="43">
        <f>Daily[[#This Row],[Annual]]/12</f>
        <v>100.07083333333333</v>
      </c>
      <c r="F24" s="43">
        <f>Daily[[#This Row],[Daily]]*365</f>
        <v>1200.8499999999999</v>
      </c>
    </row>
    <row r="25" spans="2:6" ht="30" customHeight="1">
      <c r="B25" s="51" t="s">
        <v>17</v>
      </c>
      <c r="C25" s="34" t="s">
        <v>36</v>
      </c>
      <c r="D25" s="43">
        <v>1.64</v>
      </c>
      <c r="E25" s="43">
        <f>Daily[[#This Row],[Annual]]/12</f>
        <v>49.883333333333326</v>
      </c>
      <c r="F25" s="43">
        <f>Daily[[#This Row],[Daily]]*365</f>
        <v>598.59999999999991</v>
      </c>
    </row>
    <row r="26" spans="2:6" ht="30" customHeight="1">
      <c r="B26" s="51" t="s">
        <v>17</v>
      </c>
      <c r="C26" s="34" t="s">
        <v>37</v>
      </c>
      <c r="D26" s="43">
        <v>1.64</v>
      </c>
      <c r="E26" s="43">
        <f>Daily[[#This Row],[Annual]]/12</f>
        <v>49.883333333333326</v>
      </c>
      <c r="F26" s="43">
        <f>Daily[[#This Row],[Daily]]*365</f>
        <v>598.59999999999991</v>
      </c>
    </row>
    <row r="27" spans="2:6" ht="30" customHeight="1">
      <c r="B27" s="51" t="s">
        <v>17</v>
      </c>
      <c r="C27" s="34" t="s">
        <v>38</v>
      </c>
      <c r="D27" s="43">
        <v>0.82</v>
      </c>
      <c r="E27" s="43">
        <f>Daily[[#This Row],[Annual]]/12</f>
        <v>24.941666666666663</v>
      </c>
      <c r="F27" s="43">
        <f>Daily[[#This Row],[Daily]]*365</f>
        <v>299.29999999999995</v>
      </c>
    </row>
    <row r="28" spans="2:6" ht="30" customHeight="1">
      <c r="B28" s="51" t="s">
        <v>17</v>
      </c>
      <c r="C28" s="34" t="s">
        <v>39</v>
      </c>
      <c r="D28" s="43">
        <v>0.41</v>
      </c>
      <c r="E28" s="43">
        <f>Daily[[#This Row],[Annual]]/12</f>
        <v>12.470833333333331</v>
      </c>
      <c r="F28" s="43">
        <f>Daily[[#This Row],[Daily]]*365</f>
        <v>149.64999999999998</v>
      </c>
    </row>
    <row r="29" spans="2:6" ht="30" customHeight="1">
      <c r="B29" s="51" t="s">
        <v>17</v>
      </c>
      <c r="C29" s="34" t="s">
        <v>40</v>
      </c>
      <c r="D29" s="43">
        <v>1.64</v>
      </c>
      <c r="E29" s="43">
        <f>Daily[[#This Row],[Annual]]/12</f>
        <v>49.883333333333326</v>
      </c>
      <c r="F29" s="43">
        <f>Daily[[#This Row],[Daily]]*365</f>
        <v>598.59999999999991</v>
      </c>
    </row>
    <row r="30" spans="2:6" ht="30" customHeight="1">
      <c r="B30" s="51" t="s">
        <v>17</v>
      </c>
      <c r="C30" s="34" t="s">
        <v>41</v>
      </c>
      <c r="D30" s="43">
        <v>1.64</v>
      </c>
      <c r="E30" s="43">
        <f>Daily[[#This Row],[Annual]]/12</f>
        <v>49.883333333333326</v>
      </c>
      <c r="F30" s="43">
        <f>Daily[[#This Row],[Daily]]*365</f>
        <v>598.59999999999991</v>
      </c>
    </row>
    <row r="31" spans="2:6" ht="30" customHeight="1">
      <c r="B31" s="51" t="s">
        <v>17</v>
      </c>
      <c r="C31" s="34" t="s">
        <v>42</v>
      </c>
      <c r="D31" s="43">
        <v>4.1100000000000003</v>
      </c>
      <c r="E31" s="43">
        <f>Daily[[#This Row],[Annual]]/12</f>
        <v>125.0125</v>
      </c>
      <c r="F31" s="43">
        <f>Daily[[#This Row],[Daily]]*365</f>
        <v>1500.15</v>
      </c>
    </row>
    <row r="32" spans="2:6" ht="30" customHeight="1">
      <c r="B32" s="51" t="s">
        <v>17</v>
      </c>
      <c r="C32" s="34" t="s">
        <v>43</v>
      </c>
      <c r="D32" s="43">
        <v>13.7</v>
      </c>
      <c r="E32" s="43">
        <f>Daily[[#This Row],[Annual]]/12</f>
        <v>416.70833333333331</v>
      </c>
      <c r="F32" s="43">
        <f>Daily[[#This Row],[Daily]]*365</f>
        <v>5000.5</v>
      </c>
    </row>
    <row r="33" spans="2:6" ht="30" customHeight="1">
      <c r="B33" s="51" t="s">
        <v>17</v>
      </c>
      <c r="C33" s="34" t="s">
        <v>44</v>
      </c>
      <c r="D33" s="43">
        <v>3.29</v>
      </c>
      <c r="E33" s="43">
        <f>Daily[[#This Row],[Annual]]/12</f>
        <v>100.07083333333333</v>
      </c>
      <c r="F33" s="43">
        <f>Daily[[#This Row],[Daily]]*365</f>
        <v>1200.8499999999999</v>
      </c>
    </row>
    <row r="34" spans="2:6" ht="30" customHeight="1">
      <c r="B34" s="51" t="s">
        <v>17</v>
      </c>
      <c r="C34" s="34" t="s">
        <v>45</v>
      </c>
      <c r="D34" s="43">
        <v>1.64</v>
      </c>
      <c r="E34" s="43">
        <f>Daily[[#This Row],[Annual]]/12</f>
        <v>49.883333333333326</v>
      </c>
      <c r="F34" s="43">
        <f>Daily[[#This Row],[Daily]]*365</f>
        <v>598.59999999999991</v>
      </c>
    </row>
    <row r="35" spans="2:6" ht="30" customHeight="1">
      <c r="B35" s="51" t="s">
        <v>17</v>
      </c>
      <c r="C35" s="34" t="s">
        <v>46</v>
      </c>
      <c r="D35" s="43">
        <v>1</v>
      </c>
      <c r="E35" s="43">
        <f>Daily[[#This Row],[Annual]]/12</f>
        <v>30.416666666666668</v>
      </c>
      <c r="F35" s="43">
        <f>Daily[[#This Row],[Daily]]*365</f>
        <v>365</v>
      </c>
    </row>
    <row r="36" spans="2:6" ht="30" customHeight="1">
      <c r="B36" s="51" t="s">
        <v>17</v>
      </c>
      <c r="C36" s="34" t="s">
        <v>26</v>
      </c>
      <c r="D36" s="43">
        <v>0</v>
      </c>
      <c r="E36" s="43">
        <f>Daily[[#This Row],[Annual]]/12</f>
        <v>0</v>
      </c>
      <c r="F36" s="43">
        <f>Daily[[#This Row],[Daily]]*365</f>
        <v>0</v>
      </c>
    </row>
    <row r="37" spans="2:6" ht="30" customHeight="1">
      <c r="B37" s="51" t="s">
        <v>17</v>
      </c>
      <c r="C37" s="34" t="s">
        <v>27</v>
      </c>
      <c r="D37" s="43">
        <v>0</v>
      </c>
      <c r="E37" s="43">
        <f>Daily[[#This Row],[Annual]]/12</f>
        <v>0</v>
      </c>
      <c r="F37" s="43">
        <f>Daily[[#This Row],[Daily]]*365</f>
        <v>0</v>
      </c>
    </row>
    <row r="38" spans="2:6" ht="30" customHeight="1">
      <c r="B38" s="51" t="s">
        <v>17</v>
      </c>
      <c r="C38" s="34" t="s">
        <v>28</v>
      </c>
      <c r="D38" s="43">
        <v>0</v>
      </c>
      <c r="E38" s="43">
        <f>Daily[[#This Row],[Annual]]/12</f>
        <v>0</v>
      </c>
      <c r="F38" s="43">
        <f>Daily[[#This Row],[Daily]]*365</f>
        <v>0</v>
      </c>
    </row>
    <row r="39" spans="2:6" ht="30" customHeight="1">
      <c r="B39" s="51" t="s">
        <v>18</v>
      </c>
      <c r="C39" s="34" t="s">
        <v>47</v>
      </c>
      <c r="D39" s="43">
        <v>3.29</v>
      </c>
      <c r="E39" s="43">
        <f>Daily[[#This Row],[Annual]]/12</f>
        <v>100.07083333333333</v>
      </c>
      <c r="F39" s="43">
        <f>Daily[[#This Row],[Daily]]*365</f>
        <v>1200.8499999999999</v>
      </c>
    </row>
    <row r="40" spans="2:6" ht="30" customHeight="1">
      <c r="B40" s="51" t="s">
        <v>18</v>
      </c>
      <c r="C40" s="34" t="s">
        <v>48</v>
      </c>
      <c r="D40" s="43">
        <v>1.64</v>
      </c>
      <c r="E40" s="43">
        <f>Daily[[#This Row],[Annual]]/12</f>
        <v>49.883333333333326</v>
      </c>
      <c r="F40" s="43">
        <f>Daily[[#This Row],[Daily]]*365</f>
        <v>598.59999999999991</v>
      </c>
    </row>
    <row r="41" spans="2:6" ht="30" customHeight="1">
      <c r="B41" s="51" t="s">
        <v>18</v>
      </c>
      <c r="C41" s="34" t="s">
        <v>49</v>
      </c>
      <c r="D41" s="43">
        <v>6.16</v>
      </c>
      <c r="E41" s="43">
        <f>Daily[[#This Row],[Annual]]/12</f>
        <v>187.36666666666667</v>
      </c>
      <c r="F41" s="43">
        <f>Daily[[#This Row],[Daily]]*365</f>
        <v>2248.4</v>
      </c>
    </row>
    <row r="42" spans="2:6" ht="30" customHeight="1">
      <c r="B42" s="51" t="s">
        <v>18</v>
      </c>
      <c r="C42" s="34" t="s">
        <v>50</v>
      </c>
      <c r="D42" s="43">
        <v>3.29</v>
      </c>
      <c r="E42" s="43">
        <f>Daily[[#This Row],[Annual]]/12</f>
        <v>100.07083333333333</v>
      </c>
      <c r="F42" s="43">
        <f>Daily[[#This Row],[Daily]]*365</f>
        <v>1200.8499999999999</v>
      </c>
    </row>
    <row r="43" spans="2:6" ht="30" customHeight="1">
      <c r="B43" s="51" t="s">
        <v>18</v>
      </c>
      <c r="C43" s="34" t="s">
        <v>51</v>
      </c>
      <c r="D43" s="43">
        <v>0.82</v>
      </c>
      <c r="E43" s="43">
        <f>Daily[[#This Row],[Annual]]/12</f>
        <v>24.941666666666663</v>
      </c>
      <c r="F43" s="43">
        <f>Daily[[#This Row],[Daily]]*365</f>
        <v>299.29999999999995</v>
      </c>
    </row>
    <row r="44" spans="2:6" ht="30" customHeight="1">
      <c r="B44" s="51" t="s">
        <v>18</v>
      </c>
      <c r="C44" s="34" t="s">
        <v>52</v>
      </c>
      <c r="D44" s="43">
        <v>5.48</v>
      </c>
      <c r="E44" s="43">
        <f>Daily[[#This Row],[Annual]]/12</f>
        <v>166.68333333333334</v>
      </c>
      <c r="F44" s="43">
        <f>Daily[[#This Row],[Daily]]*365</f>
        <v>2000.2</v>
      </c>
    </row>
    <row r="45" spans="2:6" ht="30" customHeight="1">
      <c r="B45" s="51" t="s">
        <v>18</v>
      </c>
      <c r="C45" s="34" t="s">
        <v>53</v>
      </c>
      <c r="D45" s="43">
        <v>1.64</v>
      </c>
      <c r="E45" s="43">
        <f>Daily[[#This Row],[Annual]]/12</f>
        <v>49.883333333333326</v>
      </c>
      <c r="F45" s="43">
        <f>Daily[[#This Row],[Daily]]*365</f>
        <v>598.59999999999991</v>
      </c>
    </row>
    <row r="46" spans="2:6" ht="30" customHeight="1">
      <c r="B46" s="51" t="s">
        <v>18</v>
      </c>
      <c r="C46" s="34" t="s">
        <v>54</v>
      </c>
      <c r="D46" s="43">
        <v>0.82</v>
      </c>
      <c r="E46" s="43">
        <f>Daily[[#This Row],[Annual]]/12</f>
        <v>24.941666666666663</v>
      </c>
      <c r="F46" s="43">
        <f>Daily[[#This Row],[Daily]]*365</f>
        <v>299.29999999999995</v>
      </c>
    </row>
    <row r="47" spans="2:6" ht="30" customHeight="1">
      <c r="B47" s="51" t="s">
        <v>18</v>
      </c>
      <c r="C47" s="34" t="s">
        <v>55</v>
      </c>
      <c r="D47" s="43">
        <v>13.15</v>
      </c>
      <c r="E47" s="43">
        <f>Daily[[#This Row],[Annual]]/12</f>
        <v>399.97916666666669</v>
      </c>
      <c r="F47" s="43">
        <f>Daily[[#This Row],[Daily]]*365</f>
        <v>4799.75</v>
      </c>
    </row>
    <row r="48" spans="2:6" ht="30" customHeight="1">
      <c r="B48" s="51" t="s">
        <v>18</v>
      </c>
      <c r="C48" s="34" t="s">
        <v>25</v>
      </c>
      <c r="D48" s="43">
        <v>0</v>
      </c>
      <c r="E48" s="43">
        <f>Daily[[#This Row],[Annual]]/12</f>
        <v>0</v>
      </c>
      <c r="F48" s="43">
        <f>Daily[[#This Row],[Daily]]*365</f>
        <v>0</v>
      </c>
    </row>
    <row r="49" spans="2:6" ht="30" customHeight="1">
      <c r="B49" s="51" t="s">
        <v>18</v>
      </c>
      <c r="C49" s="34" t="s">
        <v>26</v>
      </c>
      <c r="D49" s="43">
        <v>0</v>
      </c>
      <c r="E49" s="43">
        <f>Daily[[#This Row],[Annual]]/12</f>
        <v>0</v>
      </c>
      <c r="F49" s="43">
        <f>Daily[[#This Row],[Daily]]*365</f>
        <v>0</v>
      </c>
    </row>
    <row r="50" spans="2:6" ht="30" customHeight="1">
      <c r="B50" s="51" t="s">
        <v>19</v>
      </c>
      <c r="C50" s="34" t="s">
        <v>56</v>
      </c>
      <c r="D50" s="43">
        <v>13.7</v>
      </c>
      <c r="E50" s="43">
        <f>Daily[[#This Row],[Annual]]/12</f>
        <v>416.70833333333331</v>
      </c>
      <c r="F50" s="43">
        <f>Daily[[#This Row],[Daily]]*365</f>
        <v>5000.5</v>
      </c>
    </row>
    <row r="51" spans="2:6" ht="30" customHeight="1">
      <c r="B51" s="51" t="s">
        <v>19</v>
      </c>
      <c r="C51" s="34" t="s">
        <v>57</v>
      </c>
      <c r="D51" s="43">
        <v>32.880000000000003</v>
      </c>
      <c r="E51" s="43">
        <f>Daily[[#This Row],[Annual]]/12</f>
        <v>1000.1</v>
      </c>
      <c r="F51" s="43">
        <f>Daily[[#This Row],[Daily]]*365</f>
        <v>12001.2</v>
      </c>
    </row>
    <row r="52" spans="2:6" ht="30" customHeight="1">
      <c r="B52" s="51" t="s">
        <v>19</v>
      </c>
      <c r="C52" s="34" t="s">
        <v>58</v>
      </c>
      <c r="D52" s="43">
        <v>16.440000000000001</v>
      </c>
      <c r="E52" s="43">
        <f>Daily[[#This Row],[Annual]]/12</f>
        <v>500.05</v>
      </c>
      <c r="F52" s="43">
        <f>Daily[[#This Row],[Daily]]*365</f>
        <v>6000.6</v>
      </c>
    </row>
    <row r="53" spans="2:6" ht="30" customHeight="1">
      <c r="B53" s="51" t="s">
        <v>19</v>
      </c>
      <c r="C53" s="34" t="s">
        <v>25</v>
      </c>
      <c r="D53" s="43">
        <v>0</v>
      </c>
      <c r="E53" s="43">
        <f>Daily[[#This Row],[Annual]]/12</f>
        <v>0</v>
      </c>
      <c r="F53" s="43">
        <f>Daily[[#This Row],[Daily]]*365</f>
        <v>0</v>
      </c>
    </row>
    <row r="54" spans="2:6" ht="30" customHeight="1">
      <c r="B54" s="51" t="s">
        <v>19</v>
      </c>
      <c r="C54" s="34" t="s">
        <v>26</v>
      </c>
      <c r="D54" s="43">
        <v>0</v>
      </c>
      <c r="E54" s="43">
        <f>Daily[[#This Row],[Annual]]/12</f>
        <v>0</v>
      </c>
      <c r="F54" s="43">
        <f>Daily[[#This Row],[Daily]]*365</f>
        <v>0</v>
      </c>
    </row>
    <row r="55" spans="2:6" s="25" customFormat="1" ht="30" customHeight="1">
      <c r="B55" s="61" t="s">
        <v>59</v>
      </c>
      <c r="C55" s="37"/>
      <c r="D55" s="60">
        <f>SUMIF(Daily[Type],"Income",Daily[Daily])-SUMIF(Daily[Type],"&lt;&gt;Income",Daily[Daily])</f>
        <v>107.10000000000014</v>
      </c>
      <c r="E55" s="60">
        <f>SUMIF(Daily[Type],"Income",Daily[Monthly])-SUMIF(Daily[Type],"&lt;&gt;Income",Daily[Monthly])</f>
        <v>3257.625</v>
      </c>
      <c r="F55" s="60">
        <f>SUMIF(Daily[Type],"Income",Daily[Annual])-SUMIF(Daily[Type],"&lt;&gt;Income",Daily[Annual])</f>
        <v>39091.500000000015</v>
      </c>
    </row>
  </sheetData>
  <mergeCells count="2">
    <mergeCell ref="D2:E2"/>
    <mergeCell ref="F2:I2"/>
  </mergeCells>
  <conditionalFormatting sqref="B12:C55">
    <cfRule type="expression" dxfId="93" priority="9">
      <formula>(MOD(ROW(),2)&lt;&gt;0)*($B12="Income")</formula>
    </cfRule>
    <cfRule type="expression" dxfId="92" priority="10">
      <formula>(MOD(ROW(),2)=0)*($B12="Income")</formula>
    </cfRule>
  </conditionalFormatting>
  <conditionalFormatting sqref="D12:D55">
    <cfRule type="expression" dxfId="91" priority="4">
      <formula>(MOD(ROW(),2)&lt;&gt;0)*($B12&lt;&gt;"Income")</formula>
    </cfRule>
    <cfRule type="expression" dxfId="90" priority="7">
      <formula>(MOD(ROW(),2)&lt;&gt;0)*($B12="Income")</formula>
    </cfRule>
  </conditionalFormatting>
  <conditionalFormatting sqref="D12:F55">
    <cfRule type="expression" dxfId="89" priority="1">
      <formula>(MOD(ROW(),2)=0)*($B12&lt;&gt;"Income")</formula>
    </cfRule>
    <cfRule type="expression" dxfId="88" priority="8">
      <formula>(MOD(ROW(),2)=0)*($B12="Income")</formula>
    </cfRule>
  </conditionalFormatting>
  <conditionalFormatting sqref="E12:E55">
    <cfRule type="expression" dxfId="87" priority="3">
      <formula>(MOD(ROW(),2)&lt;&gt;0)*($B12&lt;&gt;"Income")</formula>
    </cfRule>
    <cfRule type="expression" dxfId="86" priority="6">
      <formula>(MOD(ROW(),2)&lt;&gt;0)*($B12="Income")</formula>
    </cfRule>
  </conditionalFormatting>
  <conditionalFormatting sqref="F12:F55">
    <cfRule type="expression" dxfId="85" priority="2">
      <formula>(MOD(ROW(),2)&lt;&gt;0)*($B12&lt;&gt;"Income")</formula>
    </cfRule>
    <cfRule type="expression" dxfId="84" priority="5">
      <formula>(MOD(ROW(),2)&lt;&gt;0)*($B12="Income")</formula>
    </cfRule>
  </conditionalFormatting>
  <dataValidations count="1">
    <dataValidation type="list" errorStyle="warning" allowBlank="1" showInputMessage="1" showErrorMessage="1" error="Select Type from the list. Select CANCEL, press ALT+DOWN ARROW for options, then DOWN ARROW and ENTER to make selection" sqref="B12:B54" xr:uid="{00000000-0002-0000-0100-000007000000}">
      <formula1>"Income,Expenses,Discretionary,Savings"</formula1>
    </dataValidation>
  </dataValidations>
  <hyperlinks>
    <hyperlink ref="F1" location="Guide!A1" tooltip="Select to navigate to Guide worksheet" display="Navigation button for Guide worksheet is in this cell." xr:uid="{00000000-0004-0000-0100-000000000000}"/>
    <hyperlink ref="G1" location="'Monthly Cash Flow'!A1" tooltip="Select to navigate to Monthly Cash Flow worksheet" display="Navigation button for Monthly Cash Flow worksheet is in this cell. " xr:uid="{00000000-0004-0000-0100-000001000000}"/>
    <hyperlink ref="I1" location="Income!A1" tooltip="Select to navigate to Income worksheet" display="INCOME" xr:uid="{00000000-0004-0000-0100-000002000000}"/>
    <hyperlink ref="H1" location="'Daily Summary'!A1" tooltip="Select to navigate to cell A1 in this worksheet" display="DAILY SUMMARY" xr:uid="{00000000-0004-0000-0100-000003000000}"/>
  </hyperlinks>
  <printOptions horizontalCentered="1"/>
  <pageMargins left="0.25" right="0.25" top="0.5" bottom="0.5" header="0.3" footer="0.3"/>
  <pageSetup scale="63" fitToHeight="0" orientation="portrait"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249977111117893"/>
    <pageSetUpPr autoPageBreaks="0" fitToPage="1"/>
  </sheetPr>
  <dimension ref="A1:R49"/>
  <sheetViews>
    <sheetView showGridLines="0" zoomScaleNormal="100" workbookViewId="0"/>
  </sheetViews>
  <sheetFormatPr defaultColWidth="8.88671875" defaultRowHeight="26.1" customHeight="1"/>
  <cols>
    <col min="1" max="1" width="1.77734375" style="25" customWidth="1"/>
    <col min="2" max="2" width="12.77734375" style="25" customWidth="1"/>
    <col min="3" max="3" width="18.77734375" style="25" customWidth="1"/>
    <col min="4" max="17" width="14.77734375" style="25" customWidth="1"/>
    <col min="18" max="18" width="1.77734375" style="25" customWidth="1"/>
    <col min="19" max="16384" width="8.88671875" style="25"/>
  </cols>
  <sheetData>
    <row r="1" spans="1:18" s="31" customFormat="1" ht="44.1" customHeight="1">
      <c r="A1" s="30"/>
      <c r="B1" s="16" t="s">
        <v>1</v>
      </c>
      <c r="C1" s="16"/>
      <c r="D1" s="16"/>
      <c r="E1" s="16"/>
      <c r="F1" s="16"/>
      <c r="G1" s="16"/>
      <c r="H1" s="16"/>
      <c r="I1" s="16"/>
      <c r="J1" s="16"/>
      <c r="K1" s="16"/>
      <c r="R1" s="31" t="s">
        <v>0</v>
      </c>
    </row>
    <row r="2" spans="1:18" s="3" customFormat="1" ht="44.1" customHeight="1">
      <c r="B2" s="86"/>
      <c r="C2" s="86" t="s">
        <v>60</v>
      </c>
      <c r="D2" s="101">
        <f>MonthlyCashFlowToDate</f>
        <v>18380</v>
      </c>
      <c r="E2" s="101"/>
      <c r="F2" s="92" t="s">
        <v>61</v>
      </c>
      <c r="G2" s="93"/>
      <c r="H2" s="93"/>
      <c r="I2" s="93"/>
      <c r="J2" s="93"/>
      <c r="K2" s="93"/>
      <c r="L2" s="23"/>
      <c r="M2" s="23"/>
      <c r="N2" s="23"/>
      <c r="O2" s="23"/>
      <c r="P2" s="23"/>
    </row>
    <row r="3" spans="1:18" s="2" customFormat="1" ht="33.950000000000003" customHeight="1">
      <c r="B3" s="32"/>
      <c r="C3" s="32"/>
      <c r="D3" s="33"/>
      <c r="E3" s="33"/>
      <c r="F3" s="1"/>
      <c r="G3" s="1"/>
      <c r="H3" s="1"/>
      <c r="I3" s="1"/>
      <c r="J3" s="1"/>
      <c r="K3" s="1"/>
      <c r="L3" s="1"/>
      <c r="M3" s="1"/>
      <c r="N3" s="1"/>
      <c r="O3" s="1"/>
      <c r="P3" s="1"/>
    </row>
    <row r="4" spans="1:18" s="39" customFormat="1" ht="33.950000000000003" customHeight="1" thickBot="1">
      <c r="B4" s="77" t="s">
        <v>20</v>
      </c>
      <c r="C4" s="77" t="s">
        <v>21</v>
      </c>
      <c r="D4" s="77" t="s">
        <v>62</v>
      </c>
      <c r="E4" s="77" t="s">
        <v>63</v>
      </c>
      <c r="F4" s="77" t="s">
        <v>64</v>
      </c>
      <c r="G4" s="77" t="s">
        <v>65</v>
      </c>
      <c r="H4" s="77" t="s">
        <v>66</v>
      </c>
      <c r="I4" s="77" t="s">
        <v>67</v>
      </c>
      <c r="J4" s="77" t="s">
        <v>68</v>
      </c>
      <c r="K4" s="77" t="s">
        <v>69</v>
      </c>
      <c r="L4" s="77" t="s">
        <v>70</v>
      </c>
      <c r="M4" s="77" t="s">
        <v>71</v>
      </c>
      <c r="N4" s="77" t="s">
        <v>72</v>
      </c>
      <c r="O4" s="77" t="s">
        <v>73</v>
      </c>
      <c r="P4" s="77" t="s">
        <v>59</v>
      </c>
      <c r="Q4" s="78"/>
    </row>
    <row r="5" spans="1:18" s="34" customFormat="1" ht="26.1" customHeight="1">
      <c r="B5" s="35" t="s">
        <v>16</v>
      </c>
      <c r="C5" s="35" t="s">
        <v>23</v>
      </c>
      <c r="D5" s="43">
        <v>7500</v>
      </c>
      <c r="E5" s="43">
        <v>7500</v>
      </c>
      <c r="F5" s="43">
        <v>7500</v>
      </c>
      <c r="G5" s="43">
        <v>7500</v>
      </c>
      <c r="H5" s="43">
        <v>7500</v>
      </c>
      <c r="I5" s="43">
        <v>7500</v>
      </c>
      <c r="J5" s="43"/>
      <c r="K5" s="43"/>
      <c r="L5" s="43"/>
      <c r="M5" s="43"/>
      <c r="N5" s="43"/>
      <c r="O5" s="43"/>
      <c r="P5" s="43">
        <f>SUM(Monthly[[#This Row],[Jan]:[Dec]])</f>
        <v>45000</v>
      </c>
    </row>
    <row r="6" spans="1:18" s="34" customFormat="1" ht="26.1" customHeight="1">
      <c r="B6" s="35" t="s">
        <v>16</v>
      </c>
      <c r="C6" s="35" t="s">
        <v>24</v>
      </c>
      <c r="D6" s="43">
        <v>400</v>
      </c>
      <c r="E6" s="43">
        <v>400</v>
      </c>
      <c r="F6" s="43">
        <v>500</v>
      </c>
      <c r="G6" s="43">
        <v>200</v>
      </c>
      <c r="H6" s="43">
        <v>0</v>
      </c>
      <c r="I6" s="43">
        <v>600</v>
      </c>
      <c r="J6" s="43"/>
      <c r="K6" s="43"/>
      <c r="L6" s="43"/>
      <c r="M6" s="43"/>
      <c r="N6" s="43"/>
      <c r="O6" s="43"/>
      <c r="P6" s="43">
        <f>SUM(Monthly[[#This Row],[Jan]:[Dec]])</f>
        <v>2100</v>
      </c>
    </row>
    <row r="7" spans="1:18" s="34" customFormat="1" ht="26.1" customHeight="1">
      <c r="B7" s="35" t="s">
        <v>16</v>
      </c>
      <c r="C7" s="35" t="s">
        <v>25</v>
      </c>
      <c r="D7" s="43">
        <v>2500</v>
      </c>
      <c r="E7" s="43">
        <v>2500</v>
      </c>
      <c r="F7" s="43">
        <v>2500</v>
      </c>
      <c r="G7" s="43">
        <v>2500</v>
      </c>
      <c r="H7" s="43">
        <v>2500</v>
      </c>
      <c r="I7" s="43">
        <v>2500</v>
      </c>
      <c r="J7" s="43"/>
      <c r="K7" s="43"/>
      <c r="L7" s="43"/>
      <c r="M7" s="43"/>
      <c r="N7" s="43"/>
      <c r="O7" s="43"/>
      <c r="P7" s="43">
        <f>SUM(Monthly[[#This Row],[Jan]:[Dec]])</f>
        <v>15000</v>
      </c>
    </row>
    <row r="8" spans="1:18" s="34" customFormat="1" ht="26.1" customHeight="1">
      <c r="B8" s="35" t="s">
        <v>16</v>
      </c>
      <c r="C8" s="35" t="s">
        <v>26</v>
      </c>
      <c r="D8" s="43">
        <v>0</v>
      </c>
      <c r="E8" s="43">
        <v>0</v>
      </c>
      <c r="F8" s="43">
        <v>0</v>
      </c>
      <c r="G8" s="43">
        <v>0</v>
      </c>
      <c r="H8" s="43">
        <v>0</v>
      </c>
      <c r="I8" s="43">
        <v>0</v>
      </c>
      <c r="J8" s="43"/>
      <c r="K8" s="43"/>
      <c r="L8" s="43"/>
      <c r="M8" s="43"/>
      <c r="N8" s="43"/>
      <c r="O8" s="43"/>
      <c r="P8" s="43">
        <f>SUM(Monthly[[#This Row],[Jan]:[Dec]])</f>
        <v>0</v>
      </c>
    </row>
    <row r="9" spans="1:18" s="34" customFormat="1" ht="26.1" customHeight="1">
      <c r="B9" s="35" t="s">
        <v>16</v>
      </c>
      <c r="C9" s="35" t="s">
        <v>27</v>
      </c>
      <c r="D9" s="43">
        <v>0</v>
      </c>
      <c r="E9" s="43">
        <v>0</v>
      </c>
      <c r="F9" s="43">
        <v>0</v>
      </c>
      <c r="G9" s="43">
        <v>0</v>
      </c>
      <c r="H9" s="43">
        <v>0</v>
      </c>
      <c r="I9" s="43">
        <v>0</v>
      </c>
      <c r="J9" s="43"/>
      <c r="K9" s="43"/>
      <c r="L9" s="43"/>
      <c r="M9" s="43"/>
      <c r="N9" s="43"/>
      <c r="O9" s="43"/>
      <c r="P9" s="43">
        <f>SUM(Monthly[[#This Row],[Jan]:[Dec]])</f>
        <v>0</v>
      </c>
    </row>
    <row r="10" spans="1:18" s="34" customFormat="1" ht="26.1" customHeight="1">
      <c r="B10" s="35" t="s">
        <v>16</v>
      </c>
      <c r="C10" s="35" t="s">
        <v>28</v>
      </c>
      <c r="D10" s="43">
        <v>0</v>
      </c>
      <c r="E10" s="43">
        <v>0</v>
      </c>
      <c r="F10" s="43">
        <v>0</v>
      </c>
      <c r="G10" s="43">
        <v>0</v>
      </c>
      <c r="H10" s="43">
        <v>0</v>
      </c>
      <c r="I10" s="43">
        <v>0</v>
      </c>
      <c r="J10" s="43"/>
      <c r="K10" s="43"/>
      <c r="L10" s="43"/>
      <c r="M10" s="43"/>
      <c r="N10" s="43"/>
      <c r="O10" s="43"/>
      <c r="P10" s="43">
        <f>SUM(Monthly[[#This Row],[Jan]:[Dec]])</f>
        <v>0</v>
      </c>
    </row>
    <row r="11" spans="1:18" s="34" customFormat="1" ht="26.1" customHeight="1">
      <c r="B11" s="35" t="s">
        <v>17</v>
      </c>
      <c r="C11" s="35" t="s">
        <v>29</v>
      </c>
      <c r="D11" s="43">
        <v>1250</v>
      </c>
      <c r="E11" s="43">
        <v>1250</v>
      </c>
      <c r="F11" s="43">
        <v>1250</v>
      </c>
      <c r="G11" s="43">
        <v>1250</v>
      </c>
      <c r="H11" s="43">
        <v>1250</v>
      </c>
      <c r="I11" s="43">
        <v>1250</v>
      </c>
      <c r="J11" s="43"/>
      <c r="K11" s="43"/>
      <c r="L11" s="43"/>
      <c r="M11" s="43"/>
      <c r="N11" s="43"/>
      <c r="O11" s="43"/>
      <c r="P11" s="43">
        <f>SUM(Monthly[[#This Row],[Jan]:[Dec]])</f>
        <v>7500</v>
      </c>
    </row>
    <row r="12" spans="1:18" s="34" customFormat="1" ht="26.1" customHeight="1">
      <c r="B12" s="35" t="s">
        <v>17</v>
      </c>
      <c r="C12" s="35" t="s">
        <v>30</v>
      </c>
      <c r="D12" s="43">
        <v>208.33333333333334</v>
      </c>
      <c r="E12" s="43">
        <v>208.33333333333334</v>
      </c>
      <c r="F12" s="43">
        <v>208.33333333333334</v>
      </c>
      <c r="G12" s="43">
        <v>208.33333333333334</v>
      </c>
      <c r="H12" s="43">
        <v>208.33333333333334</v>
      </c>
      <c r="I12" s="43">
        <v>208.33333333333334</v>
      </c>
      <c r="J12" s="43"/>
      <c r="K12" s="43"/>
      <c r="L12" s="43"/>
      <c r="M12" s="43"/>
      <c r="N12" s="43"/>
      <c r="O12" s="43"/>
      <c r="P12" s="43">
        <f>SUM(Monthly[[#This Row],[Jan]:[Dec]])</f>
        <v>1250</v>
      </c>
    </row>
    <row r="13" spans="1:18" ht="26.1" customHeight="1">
      <c r="B13" s="35" t="s">
        <v>17</v>
      </c>
      <c r="C13" s="35" t="s">
        <v>31</v>
      </c>
      <c r="D13" s="43">
        <v>16.666666666666668</v>
      </c>
      <c r="E13" s="43">
        <v>16.666666666666668</v>
      </c>
      <c r="F13" s="43">
        <v>16.666666666666668</v>
      </c>
      <c r="G13" s="43">
        <v>16.666666666666668</v>
      </c>
      <c r="H13" s="43">
        <v>16.666666666666668</v>
      </c>
      <c r="I13" s="43">
        <v>16.666666666666668</v>
      </c>
      <c r="J13" s="43"/>
      <c r="K13" s="43"/>
      <c r="L13" s="43"/>
      <c r="M13" s="43"/>
      <c r="N13" s="43"/>
      <c r="O13" s="43"/>
      <c r="P13" s="43">
        <f>SUM(Monthly[[#This Row],[Jan]:[Dec]])</f>
        <v>100.00000000000001</v>
      </c>
      <c r="Q13" s="34"/>
    </row>
    <row r="14" spans="1:18" ht="26.1" customHeight="1">
      <c r="B14" s="35" t="s">
        <v>17</v>
      </c>
      <c r="C14" s="35" t="s">
        <v>32</v>
      </c>
      <c r="D14" s="43">
        <v>333.33333333333331</v>
      </c>
      <c r="E14" s="43">
        <v>333.33333333333331</v>
      </c>
      <c r="F14" s="43">
        <v>333.33333333333331</v>
      </c>
      <c r="G14" s="43">
        <v>333.33333333333331</v>
      </c>
      <c r="H14" s="43">
        <v>333.33333333333331</v>
      </c>
      <c r="I14" s="43">
        <v>333.33333333333331</v>
      </c>
      <c r="J14" s="43"/>
      <c r="K14" s="43"/>
      <c r="L14" s="43"/>
      <c r="M14" s="43"/>
      <c r="N14" s="43"/>
      <c r="O14" s="43"/>
      <c r="P14" s="43">
        <f>SUM(Monthly[[#This Row],[Jan]:[Dec]])</f>
        <v>1999.9999999999998</v>
      </c>
      <c r="Q14" s="34"/>
    </row>
    <row r="15" spans="1:18" ht="26.1" customHeight="1">
      <c r="B15" s="35" t="s">
        <v>17</v>
      </c>
      <c r="C15" s="35" t="s">
        <v>33</v>
      </c>
      <c r="D15" s="43">
        <v>1250</v>
      </c>
      <c r="E15" s="43">
        <v>1250</v>
      </c>
      <c r="F15" s="43">
        <v>1250</v>
      </c>
      <c r="G15" s="43">
        <v>1250</v>
      </c>
      <c r="H15" s="43">
        <v>1250</v>
      </c>
      <c r="I15" s="43">
        <v>1250</v>
      </c>
      <c r="J15" s="43"/>
      <c r="K15" s="43"/>
      <c r="L15" s="43"/>
      <c r="M15" s="43"/>
      <c r="N15" s="43"/>
      <c r="O15" s="43"/>
      <c r="P15" s="43">
        <f>SUM(Monthly[[#This Row],[Jan]:[Dec]])</f>
        <v>7500</v>
      </c>
      <c r="Q15" s="34"/>
    </row>
    <row r="16" spans="1:18" ht="26.1" customHeight="1">
      <c r="B16" s="35" t="s">
        <v>17</v>
      </c>
      <c r="C16" s="35" t="s">
        <v>34</v>
      </c>
      <c r="D16" s="43">
        <v>25</v>
      </c>
      <c r="E16" s="43">
        <v>25</v>
      </c>
      <c r="F16" s="43">
        <v>25</v>
      </c>
      <c r="G16" s="43">
        <v>25</v>
      </c>
      <c r="H16" s="43">
        <v>25</v>
      </c>
      <c r="I16" s="43">
        <v>25</v>
      </c>
      <c r="J16" s="43"/>
      <c r="K16" s="43"/>
      <c r="L16" s="43"/>
      <c r="M16" s="43"/>
      <c r="N16" s="43"/>
      <c r="O16" s="43"/>
      <c r="P16" s="43">
        <f>SUM(Monthly[[#This Row],[Jan]:[Dec]])</f>
        <v>150</v>
      </c>
      <c r="Q16" s="34"/>
    </row>
    <row r="17" spans="2:17" ht="26.1" customHeight="1">
      <c r="B17" s="35" t="s">
        <v>17</v>
      </c>
      <c r="C17" s="35" t="s">
        <v>35</v>
      </c>
      <c r="D17" s="43">
        <v>100</v>
      </c>
      <c r="E17" s="43">
        <v>100</v>
      </c>
      <c r="F17" s="43">
        <v>100</v>
      </c>
      <c r="G17" s="43">
        <v>100</v>
      </c>
      <c r="H17" s="43">
        <v>100</v>
      </c>
      <c r="I17" s="43">
        <v>100</v>
      </c>
      <c r="J17" s="43"/>
      <c r="K17" s="43"/>
      <c r="L17" s="43"/>
      <c r="M17" s="43"/>
      <c r="N17" s="43"/>
      <c r="O17" s="43"/>
      <c r="P17" s="43">
        <f>SUM(Monthly[[#This Row],[Jan]:[Dec]])</f>
        <v>600</v>
      </c>
      <c r="Q17" s="34"/>
    </row>
    <row r="18" spans="2:17" ht="26.1" customHeight="1">
      <c r="B18" s="35" t="s">
        <v>17</v>
      </c>
      <c r="C18" s="35" t="s">
        <v>36</v>
      </c>
      <c r="D18" s="43">
        <v>50</v>
      </c>
      <c r="E18" s="43">
        <v>50</v>
      </c>
      <c r="F18" s="43">
        <v>50</v>
      </c>
      <c r="G18" s="43">
        <v>50</v>
      </c>
      <c r="H18" s="43">
        <v>50</v>
      </c>
      <c r="I18" s="43">
        <v>50</v>
      </c>
      <c r="J18" s="43"/>
      <c r="K18" s="43"/>
      <c r="L18" s="43"/>
      <c r="M18" s="43"/>
      <c r="N18" s="43"/>
      <c r="O18" s="43"/>
      <c r="P18" s="43">
        <f>SUM(Monthly[[#This Row],[Jan]:[Dec]])</f>
        <v>300</v>
      </c>
      <c r="Q18" s="34"/>
    </row>
    <row r="19" spans="2:17" ht="26.1" customHeight="1">
      <c r="B19" s="35" t="s">
        <v>17</v>
      </c>
      <c r="C19" s="35" t="s">
        <v>37</v>
      </c>
      <c r="D19" s="43">
        <v>50</v>
      </c>
      <c r="E19" s="43">
        <v>50</v>
      </c>
      <c r="F19" s="43">
        <v>50</v>
      </c>
      <c r="G19" s="43">
        <v>50</v>
      </c>
      <c r="H19" s="43">
        <v>50</v>
      </c>
      <c r="I19" s="43">
        <v>50</v>
      </c>
      <c r="J19" s="43"/>
      <c r="K19" s="43"/>
      <c r="L19" s="43"/>
      <c r="M19" s="43"/>
      <c r="N19" s="43"/>
      <c r="O19" s="43"/>
      <c r="P19" s="43">
        <f>SUM(Monthly[[#This Row],[Jan]:[Dec]])</f>
        <v>300</v>
      </c>
      <c r="Q19" s="34"/>
    </row>
    <row r="20" spans="2:17" ht="26.1" customHeight="1">
      <c r="B20" s="35" t="s">
        <v>17</v>
      </c>
      <c r="C20" s="35" t="s">
        <v>38</v>
      </c>
      <c r="D20" s="43">
        <v>25</v>
      </c>
      <c r="E20" s="43">
        <v>25</v>
      </c>
      <c r="F20" s="43">
        <v>25</v>
      </c>
      <c r="G20" s="43">
        <v>25</v>
      </c>
      <c r="H20" s="43">
        <v>25</v>
      </c>
      <c r="I20" s="43">
        <v>25</v>
      </c>
      <c r="J20" s="43"/>
      <c r="K20" s="43"/>
      <c r="L20" s="43"/>
      <c r="M20" s="43"/>
      <c r="N20" s="43"/>
      <c r="O20" s="43"/>
      <c r="P20" s="43">
        <f>SUM(Monthly[[#This Row],[Jan]:[Dec]])</f>
        <v>150</v>
      </c>
      <c r="Q20" s="34"/>
    </row>
    <row r="21" spans="2:17" ht="26.1" customHeight="1">
      <c r="B21" s="35" t="s">
        <v>17</v>
      </c>
      <c r="C21" s="35" t="s">
        <v>39</v>
      </c>
      <c r="D21" s="43">
        <v>12.5</v>
      </c>
      <c r="E21" s="43">
        <v>12.5</v>
      </c>
      <c r="F21" s="43">
        <v>12.5</v>
      </c>
      <c r="G21" s="43">
        <v>12.5</v>
      </c>
      <c r="H21" s="43">
        <v>12.5</v>
      </c>
      <c r="I21" s="43">
        <v>12.5</v>
      </c>
      <c r="J21" s="43"/>
      <c r="K21" s="43"/>
      <c r="L21" s="43"/>
      <c r="M21" s="43"/>
      <c r="N21" s="43"/>
      <c r="O21" s="43"/>
      <c r="P21" s="43">
        <f>SUM(Monthly[[#This Row],[Jan]:[Dec]])</f>
        <v>75</v>
      </c>
      <c r="Q21" s="34"/>
    </row>
    <row r="22" spans="2:17" ht="26.1" customHeight="1">
      <c r="B22" s="35" t="s">
        <v>17</v>
      </c>
      <c r="C22" s="35" t="s">
        <v>40</v>
      </c>
      <c r="D22" s="43">
        <v>50</v>
      </c>
      <c r="E22" s="43">
        <v>50</v>
      </c>
      <c r="F22" s="43">
        <v>50</v>
      </c>
      <c r="G22" s="43">
        <v>50</v>
      </c>
      <c r="H22" s="43">
        <v>50</v>
      </c>
      <c r="I22" s="43">
        <v>50</v>
      </c>
      <c r="J22" s="43"/>
      <c r="K22" s="43"/>
      <c r="L22" s="43"/>
      <c r="M22" s="43"/>
      <c r="N22" s="43"/>
      <c r="O22" s="43"/>
      <c r="P22" s="43">
        <f>SUM(Monthly[[#This Row],[Jan]:[Dec]])</f>
        <v>300</v>
      </c>
      <c r="Q22" s="34"/>
    </row>
    <row r="23" spans="2:17" ht="26.1" customHeight="1">
      <c r="B23" s="35" t="s">
        <v>17</v>
      </c>
      <c r="C23" s="35" t="s">
        <v>41</v>
      </c>
      <c r="D23" s="43">
        <v>50</v>
      </c>
      <c r="E23" s="43">
        <v>50</v>
      </c>
      <c r="F23" s="43">
        <v>50</v>
      </c>
      <c r="G23" s="43">
        <v>50</v>
      </c>
      <c r="H23" s="43">
        <v>50</v>
      </c>
      <c r="I23" s="43">
        <v>50</v>
      </c>
      <c r="J23" s="43"/>
      <c r="K23" s="43"/>
      <c r="L23" s="43"/>
      <c r="M23" s="43"/>
      <c r="N23" s="43"/>
      <c r="O23" s="43"/>
      <c r="P23" s="43">
        <f>SUM(Monthly[[#This Row],[Jan]:[Dec]])</f>
        <v>300</v>
      </c>
      <c r="Q23" s="34"/>
    </row>
    <row r="24" spans="2:17" ht="26.1" customHeight="1">
      <c r="B24" s="35" t="s">
        <v>17</v>
      </c>
      <c r="C24" s="35" t="s">
        <v>42</v>
      </c>
      <c r="D24" s="43">
        <v>125</v>
      </c>
      <c r="E24" s="43">
        <v>125</v>
      </c>
      <c r="F24" s="43">
        <v>125</v>
      </c>
      <c r="G24" s="43">
        <v>125</v>
      </c>
      <c r="H24" s="43">
        <v>125</v>
      </c>
      <c r="I24" s="43">
        <v>125</v>
      </c>
      <c r="J24" s="43"/>
      <c r="K24" s="43"/>
      <c r="L24" s="43"/>
      <c r="M24" s="43"/>
      <c r="N24" s="43"/>
      <c r="O24" s="43"/>
      <c r="P24" s="43">
        <f>SUM(Monthly[[#This Row],[Jan]:[Dec]])</f>
        <v>750</v>
      </c>
      <c r="Q24" s="34"/>
    </row>
    <row r="25" spans="2:17" ht="26.1" customHeight="1">
      <c r="B25" s="35" t="s">
        <v>17</v>
      </c>
      <c r="C25" s="35" t="s">
        <v>43</v>
      </c>
      <c r="D25" s="43">
        <v>400</v>
      </c>
      <c r="E25" s="43">
        <v>500</v>
      </c>
      <c r="F25" s="43">
        <v>450</v>
      </c>
      <c r="G25" s="43">
        <v>400</v>
      </c>
      <c r="H25" s="43">
        <v>450</v>
      </c>
      <c r="I25" s="43">
        <v>425</v>
      </c>
      <c r="J25" s="43"/>
      <c r="K25" s="43"/>
      <c r="L25" s="43"/>
      <c r="M25" s="43"/>
      <c r="N25" s="43"/>
      <c r="O25" s="43"/>
      <c r="P25" s="43">
        <f>SUM(Monthly[[#This Row],[Jan]:[Dec]])</f>
        <v>2625</v>
      </c>
      <c r="Q25" s="34"/>
    </row>
    <row r="26" spans="2:17" ht="26.1" customHeight="1">
      <c r="B26" s="35" t="s">
        <v>17</v>
      </c>
      <c r="C26" s="35" t="s">
        <v>44</v>
      </c>
      <c r="D26" s="43">
        <v>50</v>
      </c>
      <c r="E26" s="43">
        <v>75</v>
      </c>
      <c r="F26" s="43">
        <v>100</v>
      </c>
      <c r="G26" s="43">
        <v>75</v>
      </c>
      <c r="H26" s="43">
        <v>125</v>
      </c>
      <c r="I26" s="43">
        <v>75</v>
      </c>
      <c r="J26" s="43"/>
      <c r="K26" s="43"/>
      <c r="L26" s="43"/>
      <c r="M26" s="43"/>
      <c r="N26" s="43"/>
      <c r="O26" s="43"/>
      <c r="P26" s="43">
        <f>SUM(Monthly[[#This Row],[Jan]:[Dec]])</f>
        <v>500</v>
      </c>
      <c r="Q26" s="34"/>
    </row>
    <row r="27" spans="2:17" ht="26.1" customHeight="1">
      <c r="B27" s="35" t="s">
        <v>17</v>
      </c>
      <c r="C27" s="35" t="s">
        <v>45</v>
      </c>
      <c r="D27" s="43">
        <v>50</v>
      </c>
      <c r="E27" s="43">
        <v>10</v>
      </c>
      <c r="F27" s="43">
        <v>25</v>
      </c>
      <c r="G27" s="43">
        <v>25</v>
      </c>
      <c r="H27" s="43">
        <v>20</v>
      </c>
      <c r="I27" s="43">
        <v>70</v>
      </c>
      <c r="J27" s="43"/>
      <c r="K27" s="43"/>
      <c r="L27" s="43"/>
      <c r="M27" s="43"/>
      <c r="N27" s="43"/>
      <c r="O27" s="43"/>
      <c r="P27" s="43">
        <f>SUM(Monthly[[#This Row],[Jan]:[Dec]])</f>
        <v>200</v>
      </c>
      <c r="Q27" s="34"/>
    </row>
    <row r="28" spans="2:17" ht="26.1" customHeight="1">
      <c r="B28" s="35" t="s">
        <v>17</v>
      </c>
      <c r="C28" s="35" t="s">
        <v>46</v>
      </c>
      <c r="D28" s="43">
        <v>30</v>
      </c>
      <c r="E28" s="43">
        <v>30</v>
      </c>
      <c r="F28" s="43">
        <v>30</v>
      </c>
      <c r="G28" s="43">
        <v>20</v>
      </c>
      <c r="H28" s="43">
        <v>30</v>
      </c>
      <c r="I28" s="43">
        <v>30</v>
      </c>
      <c r="J28" s="43"/>
      <c r="K28" s="43"/>
      <c r="L28" s="43"/>
      <c r="M28" s="43"/>
      <c r="N28" s="43"/>
      <c r="O28" s="43"/>
      <c r="P28" s="43">
        <f>SUM(Monthly[[#This Row],[Jan]:[Dec]])</f>
        <v>170</v>
      </c>
      <c r="Q28" s="34"/>
    </row>
    <row r="29" spans="2:17" ht="26.1" customHeight="1">
      <c r="B29" s="35" t="s">
        <v>17</v>
      </c>
      <c r="C29" s="35" t="s">
        <v>26</v>
      </c>
      <c r="D29" s="43">
        <v>0</v>
      </c>
      <c r="E29" s="43">
        <v>0</v>
      </c>
      <c r="F29" s="43">
        <v>0</v>
      </c>
      <c r="G29" s="43">
        <v>0</v>
      </c>
      <c r="H29" s="43">
        <v>0</v>
      </c>
      <c r="I29" s="43">
        <v>0</v>
      </c>
      <c r="J29" s="43"/>
      <c r="K29" s="43"/>
      <c r="L29" s="43"/>
      <c r="M29" s="43"/>
      <c r="N29" s="43"/>
      <c r="O29" s="43"/>
      <c r="P29" s="43">
        <f>SUM(Monthly[[#This Row],[Jan]:[Dec]])</f>
        <v>0</v>
      </c>
      <c r="Q29" s="34"/>
    </row>
    <row r="30" spans="2:17" ht="26.1" customHeight="1">
      <c r="B30" s="35" t="s">
        <v>17</v>
      </c>
      <c r="C30" s="35" t="s">
        <v>27</v>
      </c>
      <c r="D30" s="43">
        <v>0</v>
      </c>
      <c r="E30" s="43">
        <v>0</v>
      </c>
      <c r="F30" s="43">
        <v>0</v>
      </c>
      <c r="G30" s="43">
        <v>0</v>
      </c>
      <c r="H30" s="43">
        <v>0</v>
      </c>
      <c r="I30" s="43">
        <v>0</v>
      </c>
      <c r="J30" s="43"/>
      <c r="K30" s="43"/>
      <c r="L30" s="43"/>
      <c r="M30" s="43"/>
      <c r="N30" s="43"/>
      <c r="O30" s="43"/>
      <c r="P30" s="43">
        <f>SUM(Monthly[[#This Row],[Jan]:[Dec]])</f>
        <v>0</v>
      </c>
      <c r="Q30" s="34"/>
    </row>
    <row r="31" spans="2:17" ht="26.1" customHeight="1">
      <c r="B31" s="35" t="s">
        <v>17</v>
      </c>
      <c r="C31" s="35" t="s">
        <v>28</v>
      </c>
      <c r="D31" s="43">
        <v>0</v>
      </c>
      <c r="E31" s="43">
        <v>0</v>
      </c>
      <c r="F31" s="43">
        <v>0</v>
      </c>
      <c r="G31" s="43">
        <v>0</v>
      </c>
      <c r="H31" s="43">
        <v>0</v>
      </c>
      <c r="I31" s="43">
        <v>0</v>
      </c>
      <c r="J31" s="43"/>
      <c r="K31" s="43"/>
      <c r="L31" s="43"/>
      <c r="M31" s="43"/>
      <c r="N31" s="43"/>
      <c r="O31" s="43"/>
      <c r="P31" s="43">
        <f>SUM(Monthly[[#This Row],[Jan]:[Dec]])</f>
        <v>0</v>
      </c>
      <c r="Q31" s="34"/>
    </row>
    <row r="32" spans="2:17" ht="26.1" customHeight="1">
      <c r="B32" s="35" t="s">
        <v>18</v>
      </c>
      <c r="C32" s="35" t="s">
        <v>47</v>
      </c>
      <c r="D32" s="43">
        <v>50</v>
      </c>
      <c r="E32" s="43">
        <v>150</v>
      </c>
      <c r="F32" s="43">
        <v>100</v>
      </c>
      <c r="G32" s="43">
        <v>50</v>
      </c>
      <c r="H32" s="43">
        <v>150</v>
      </c>
      <c r="I32" s="43">
        <v>100</v>
      </c>
      <c r="J32" s="43"/>
      <c r="K32" s="43"/>
      <c r="L32" s="43"/>
      <c r="M32" s="43"/>
      <c r="N32" s="43"/>
      <c r="O32" s="43"/>
      <c r="P32" s="43">
        <f>SUM(Monthly[[#This Row],[Jan]:[Dec]])</f>
        <v>600</v>
      </c>
      <c r="Q32" s="34"/>
    </row>
    <row r="33" spans="2:17" ht="26.1" customHeight="1">
      <c r="B33" s="35" t="s">
        <v>18</v>
      </c>
      <c r="C33" s="35" t="s">
        <v>48</v>
      </c>
      <c r="D33" s="43">
        <v>25</v>
      </c>
      <c r="E33" s="43">
        <v>75</v>
      </c>
      <c r="F33" s="43">
        <v>50</v>
      </c>
      <c r="G33" s="43">
        <v>25</v>
      </c>
      <c r="H33" s="43">
        <v>75</v>
      </c>
      <c r="I33" s="43">
        <v>50</v>
      </c>
      <c r="J33" s="43"/>
      <c r="K33" s="43"/>
      <c r="L33" s="43"/>
      <c r="M33" s="43"/>
      <c r="N33" s="43"/>
      <c r="O33" s="43"/>
      <c r="P33" s="43">
        <f>SUM(Monthly[[#This Row],[Jan]:[Dec]])</f>
        <v>300</v>
      </c>
      <c r="Q33" s="34"/>
    </row>
    <row r="34" spans="2:17" ht="26.1" customHeight="1">
      <c r="B34" s="35" t="s">
        <v>18</v>
      </c>
      <c r="C34" s="35" t="s">
        <v>49</v>
      </c>
      <c r="D34" s="43">
        <v>0</v>
      </c>
      <c r="E34" s="43">
        <v>0</v>
      </c>
      <c r="F34" s="43">
        <v>1000</v>
      </c>
      <c r="G34" s="43">
        <v>0</v>
      </c>
      <c r="H34" s="43">
        <v>0</v>
      </c>
      <c r="I34" s="43">
        <v>1000</v>
      </c>
      <c r="J34" s="43"/>
      <c r="K34" s="43"/>
      <c r="L34" s="43"/>
      <c r="M34" s="43"/>
      <c r="N34" s="43"/>
      <c r="O34" s="43"/>
      <c r="P34" s="43">
        <f>SUM(Monthly[[#This Row],[Jan]:[Dec]])</f>
        <v>2000</v>
      </c>
      <c r="Q34" s="34"/>
    </row>
    <row r="35" spans="2:17" ht="26.1" customHeight="1">
      <c r="B35" s="35" t="s">
        <v>18</v>
      </c>
      <c r="C35" s="35" t="s">
        <v>50</v>
      </c>
      <c r="D35" s="43">
        <v>50</v>
      </c>
      <c r="E35" s="43">
        <v>150</v>
      </c>
      <c r="F35" s="43">
        <v>100</v>
      </c>
      <c r="G35" s="43">
        <v>50</v>
      </c>
      <c r="H35" s="43">
        <v>150</v>
      </c>
      <c r="I35" s="43">
        <v>100</v>
      </c>
      <c r="J35" s="43"/>
      <c r="K35" s="43"/>
      <c r="L35" s="43"/>
      <c r="M35" s="43"/>
      <c r="N35" s="43"/>
      <c r="O35" s="43"/>
      <c r="P35" s="43">
        <f>SUM(Monthly[[#This Row],[Jan]:[Dec]])</f>
        <v>600</v>
      </c>
      <c r="Q35" s="34"/>
    </row>
    <row r="36" spans="2:17" ht="26.1" customHeight="1">
      <c r="B36" s="35" t="s">
        <v>18</v>
      </c>
      <c r="C36" s="35" t="s">
        <v>51</v>
      </c>
      <c r="D36" s="43">
        <v>15</v>
      </c>
      <c r="E36" s="43">
        <v>25</v>
      </c>
      <c r="F36" s="43">
        <v>35</v>
      </c>
      <c r="G36" s="43">
        <v>15</v>
      </c>
      <c r="H36" s="43">
        <v>25</v>
      </c>
      <c r="I36" s="43">
        <v>35</v>
      </c>
      <c r="J36" s="43"/>
      <c r="K36" s="43"/>
      <c r="L36" s="43"/>
      <c r="M36" s="43"/>
      <c r="N36" s="43"/>
      <c r="O36" s="43"/>
      <c r="P36" s="43">
        <f>SUM(Monthly[[#This Row],[Jan]:[Dec]])</f>
        <v>150</v>
      </c>
      <c r="Q36" s="34"/>
    </row>
    <row r="37" spans="2:17" ht="26.1" customHeight="1">
      <c r="B37" s="35" t="s">
        <v>18</v>
      </c>
      <c r="C37" s="35" t="s">
        <v>52</v>
      </c>
      <c r="D37" s="43">
        <v>100</v>
      </c>
      <c r="E37" s="43">
        <v>200</v>
      </c>
      <c r="F37" s="43">
        <v>150</v>
      </c>
      <c r="G37" s="43">
        <v>175</v>
      </c>
      <c r="H37" s="43">
        <v>150</v>
      </c>
      <c r="I37" s="43">
        <v>175</v>
      </c>
      <c r="J37" s="43"/>
      <c r="K37" s="43"/>
      <c r="L37" s="43"/>
      <c r="M37" s="43"/>
      <c r="N37" s="43"/>
      <c r="O37" s="43"/>
      <c r="P37" s="43">
        <f>SUM(Monthly[[#This Row],[Jan]:[Dec]])</f>
        <v>950</v>
      </c>
      <c r="Q37" s="34"/>
    </row>
    <row r="38" spans="2:17" ht="26.1" customHeight="1">
      <c r="B38" s="35" t="s">
        <v>18</v>
      </c>
      <c r="C38" s="35" t="s">
        <v>53</v>
      </c>
      <c r="D38" s="43">
        <v>50</v>
      </c>
      <c r="E38" s="43">
        <v>50</v>
      </c>
      <c r="F38" s="43">
        <v>50</v>
      </c>
      <c r="G38" s="43">
        <v>50</v>
      </c>
      <c r="H38" s="43">
        <v>50</v>
      </c>
      <c r="I38" s="43">
        <v>50</v>
      </c>
      <c r="J38" s="43"/>
      <c r="K38" s="43"/>
      <c r="L38" s="43"/>
      <c r="M38" s="43"/>
      <c r="N38" s="43"/>
      <c r="O38" s="43"/>
      <c r="P38" s="43">
        <f>SUM(Monthly[[#This Row],[Jan]:[Dec]])</f>
        <v>300</v>
      </c>
      <c r="Q38" s="34"/>
    </row>
    <row r="39" spans="2:17" ht="26.1" customHeight="1">
      <c r="B39" s="35" t="s">
        <v>18</v>
      </c>
      <c r="C39" s="35" t="s">
        <v>54</v>
      </c>
      <c r="D39" s="43">
        <v>25</v>
      </c>
      <c r="E39" s="43">
        <v>25</v>
      </c>
      <c r="F39" s="43">
        <v>25</v>
      </c>
      <c r="G39" s="43">
        <v>25</v>
      </c>
      <c r="H39" s="43">
        <v>25</v>
      </c>
      <c r="I39" s="43">
        <v>25</v>
      </c>
      <c r="J39" s="43"/>
      <c r="K39" s="43"/>
      <c r="L39" s="43"/>
      <c r="M39" s="43"/>
      <c r="N39" s="43"/>
      <c r="O39" s="43"/>
      <c r="P39" s="43">
        <f>SUM(Monthly[[#This Row],[Jan]:[Dec]])</f>
        <v>150</v>
      </c>
      <c r="Q39" s="34"/>
    </row>
    <row r="40" spans="2:17" ht="26.1" customHeight="1">
      <c r="B40" s="35" t="s">
        <v>18</v>
      </c>
      <c r="C40" s="35" t="s">
        <v>55</v>
      </c>
      <c r="D40" s="43">
        <v>400</v>
      </c>
      <c r="E40" s="43">
        <v>400</v>
      </c>
      <c r="F40" s="43">
        <v>400</v>
      </c>
      <c r="G40" s="43">
        <v>400</v>
      </c>
      <c r="H40" s="43">
        <v>400</v>
      </c>
      <c r="I40" s="43">
        <v>400</v>
      </c>
      <c r="J40" s="43"/>
      <c r="K40" s="43"/>
      <c r="L40" s="43"/>
      <c r="M40" s="43"/>
      <c r="N40" s="43"/>
      <c r="O40" s="43"/>
      <c r="P40" s="43">
        <f>SUM(Monthly[[#This Row],[Jan]:[Dec]])</f>
        <v>2400</v>
      </c>
      <c r="Q40" s="34"/>
    </row>
    <row r="41" spans="2:17" ht="26.1" customHeight="1">
      <c r="B41" s="35" t="s">
        <v>18</v>
      </c>
      <c r="C41" s="35" t="s">
        <v>25</v>
      </c>
      <c r="D41" s="43">
        <v>0</v>
      </c>
      <c r="E41" s="43">
        <v>0</v>
      </c>
      <c r="F41" s="43">
        <v>0</v>
      </c>
      <c r="G41" s="43">
        <v>0</v>
      </c>
      <c r="H41" s="43">
        <v>0</v>
      </c>
      <c r="I41" s="43">
        <v>0</v>
      </c>
      <c r="J41" s="43"/>
      <c r="K41" s="43"/>
      <c r="L41" s="43"/>
      <c r="M41" s="43"/>
      <c r="N41" s="43"/>
      <c r="O41" s="43"/>
      <c r="P41" s="43">
        <f>SUM(Monthly[[#This Row],[Jan]:[Dec]])</f>
        <v>0</v>
      </c>
      <c r="Q41" s="34"/>
    </row>
    <row r="42" spans="2:17" ht="26.1" customHeight="1">
      <c r="B42" s="35" t="s">
        <v>18</v>
      </c>
      <c r="C42" s="35" t="s">
        <v>26</v>
      </c>
      <c r="D42" s="43">
        <v>0</v>
      </c>
      <c r="E42" s="43">
        <v>0</v>
      </c>
      <c r="F42" s="43">
        <v>0</v>
      </c>
      <c r="G42" s="43">
        <v>0</v>
      </c>
      <c r="H42" s="43">
        <v>0</v>
      </c>
      <c r="I42" s="43">
        <v>0</v>
      </c>
      <c r="J42" s="43"/>
      <c r="K42" s="43"/>
      <c r="L42" s="43"/>
      <c r="M42" s="43"/>
      <c r="N42" s="43"/>
      <c r="O42" s="43"/>
      <c r="P42" s="43">
        <f>SUM(Monthly[[#This Row],[Jan]:[Dec]])</f>
        <v>0</v>
      </c>
      <c r="Q42" s="34"/>
    </row>
    <row r="43" spans="2:17" ht="26.1" customHeight="1">
      <c r="B43" s="35" t="s">
        <v>19</v>
      </c>
      <c r="C43" s="35" t="s">
        <v>56</v>
      </c>
      <c r="D43" s="43">
        <v>416.66666666666669</v>
      </c>
      <c r="E43" s="43">
        <v>416.66666666666669</v>
      </c>
      <c r="F43" s="43">
        <v>416.66666666666669</v>
      </c>
      <c r="G43" s="43">
        <v>416.66666666666669</v>
      </c>
      <c r="H43" s="43">
        <v>416.66666666666669</v>
      </c>
      <c r="I43" s="43">
        <v>416.66666666666669</v>
      </c>
      <c r="J43" s="43"/>
      <c r="K43" s="43"/>
      <c r="L43" s="43"/>
      <c r="M43" s="43"/>
      <c r="N43" s="43"/>
      <c r="O43" s="43"/>
      <c r="P43" s="43">
        <f>SUM(Monthly[[#This Row],[Jan]:[Dec]])</f>
        <v>2500</v>
      </c>
      <c r="Q43" s="34"/>
    </row>
    <row r="44" spans="2:17" ht="26.1" customHeight="1">
      <c r="B44" s="35" t="s">
        <v>19</v>
      </c>
      <c r="C44" s="35" t="s">
        <v>57</v>
      </c>
      <c r="D44" s="43">
        <v>1000</v>
      </c>
      <c r="E44" s="43">
        <v>1000</v>
      </c>
      <c r="F44" s="43">
        <v>1000</v>
      </c>
      <c r="G44" s="43">
        <v>1000</v>
      </c>
      <c r="H44" s="43">
        <v>1000</v>
      </c>
      <c r="I44" s="43">
        <v>1000</v>
      </c>
      <c r="J44" s="43"/>
      <c r="K44" s="43"/>
      <c r="L44" s="43"/>
      <c r="M44" s="43"/>
      <c r="N44" s="43"/>
      <c r="O44" s="43"/>
      <c r="P44" s="43">
        <f>SUM(Monthly[[#This Row],[Jan]:[Dec]])</f>
        <v>6000</v>
      </c>
      <c r="Q44" s="34"/>
    </row>
    <row r="45" spans="2:17" ht="26.1" customHeight="1">
      <c r="B45" s="35" t="s">
        <v>19</v>
      </c>
      <c r="C45" s="35" t="s">
        <v>58</v>
      </c>
      <c r="D45" s="43">
        <v>500</v>
      </c>
      <c r="E45" s="43">
        <v>500</v>
      </c>
      <c r="F45" s="43">
        <v>500</v>
      </c>
      <c r="G45" s="43">
        <v>500</v>
      </c>
      <c r="H45" s="43">
        <v>500</v>
      </c>
      <c r="I45" s="43">
        <v>500</v>
      </c>
      <c r="J45" s="43"/>
      <c r="K45" s="43"/>
      <c r="L45" s="43"/>
      <c r="M45" s="43"/>
      <c r="N45" s="43"/>
      <c r="O45" s="43"/>
      <c r="P45" s="43">
        <f>SUM(Monthly[[#This Row],[Jan]:[Dec]])</f>
        <v>3000</v>
      </c>
      <c r="Q45" s="34"/>
    </row>
    <row r="46" spans="2:17" ht="26.1" customHeight="1">
      <c r="B46" s="35" t="s">
        <v>19</v>
      </c>
      <c r="C46" s="35" t="s">
        <v>25</v>
      </c>
      <c r="D46" s="43">
        <v>0</v>
      </c>
      <c r="E46" s="43">
        <v>0</v>
      </c>
      <c r="F46" s="43">
        <v>0</v>
      </c>
      <c r="G46" s="43">
        <v>0</v>
      </c>
      <c r="H46" s="43">
        <v>0</v>
      </c>
      <c r="I46" s="43">
        <v>0</v>
      </c>
      <c r="J46" s="43"/>
      <c r="K46" s="43"/>
      <c r="L46" s="43"/>
      <c r="M46" s="43"/>
      <c r="N46" s="43"/>
      <c r="O46" s="43"/>
      <c r="P46" s="43">
        <f>SUM(Monthly[[#This Row],[Jan]:[Dec]])</f>
        <v>0</v>
      </c>
      <c r="Q46" s="34"/>
    </row>
    <row r="47" spans="2:17" ht="26.1" customHeight="1">
      <c r="B47" s="35" t="s">
        <v>19</v>
      </c>
      <c r="C47" s="35" t="s">
        <v>26</v>
      </c>
      <c r="D47" s="43">
        <v>0</v>
      </c>
      <c r="E47" s="43">
        <v>0</v>
      </c>
      <c r="F47" s="43">
        <v>0</v>
      </c>
      <c r="G47" s="43">
        <v>0</v>
      </c>
      <c r="H47" s="43">
        <v>0</v>
      </c>
      <c r="I47" s="43">
        <v>0</v>
      </c>
      <c r="J47" s="43"/>
      <c r="K47" s="43"/>
      <c r="L47" s="43"/>
      <c r="M47" s="43"/>
      <c r="N47" s="43"/>
      <c r="O47" s="43"/>
      <c r="P47" s="43">
        <f>SUM(Monthly[[#This Row],[Jan]:[Dec]])</f>
        <v>0</v>
      </c>
      <c r="Q47" s="34"/>
    </row>
    <row r="48" spans="2:17" ht="26.1" customHeight="1">
      <c r="B48" s="36" t="s">
        <v>59</v>
      </c>
      <c r="C48" s="37"/>
      <c r="D48" s="60">
        <f>SUMIF(Monthly[Type],"Income",Monthly[Jan])-SUMIF(Monthly[Type],"&lt;&gt;Income",Monthly[Jan])</f>
        <v>3692.5</v>
      </c>
      <c r="E48" s="60">
        <f>SUMIF(Monthly[Type],"Income",Monthly[Feb])-SUMIF(Monthly[Type],"&lt;&gt;Income",Monthly[Feb])</f>
        <v>3247.5</v>
      </c>
      <c r="F48" s="60">
        <f>SUMIF(Monthly[Type],"Income",Monthly[Mar])-SUMIF(Monthly[Type],"&lt;&gt;Income",Monthly[Mar])</f>
        <v>2522.5</v>
      </c>
      <c r="G48" s="60">
        <f>SUMIF(Monthly[Type],"Income",Monthly[Apr])-SUMIF(Monthly[Type],"&lt;&gt;Income",Monthly[Apr])</f>
        <v>3427.5</v>
      </c>
      <c r="H48" s="60">
        <f>SUMIF(Monthly[Type],"Income",Monthly[May])-SUMIF(Monthly[Type],"&lt;&gt;Income",Monthly[May])</f>
        <v>2887.5</v>
      </c>
      <c r="I48" s="60">
        <f>SUMIF(Monthly[Type],"Income",Monthly[Jun])-SUMIF(Monthly[Type],"&lt;&gt;Income",Monthly[Jun])</f>
        <v>2602.5</v>
      </c>
      <c r="J48" s="60">
        <f>SUMIF(Monthly[Type],"Income",Monthly[Jul])-SUMIF(Monthly[Type],"&lt;&gt;Income",Monthly[Jul])</f>
        <v>0</v>
      </c>
      <c r="K48" s="60">
        <f>SUMIF(Monthly[Type],"Income",Monthly[Aug])-SUMIF(Monthly[Type],"&lt;&gt;Income",Monthly[Aug])</f>
        <v>0</v>
      </c>
      <c r="L48" s="60">
        <f>SUMIF(Monthly[Type],"Income",Monthly[Sep])-SUMIF(Monthly[Type],"&lt;&gt;Income",Monthly[Sep])</f>
        <v>0</v>
      </c>
      <c r="M48" s="60">
        <f>SUMIF(Monthly[Type],"Income",Monthly[Oct])-SUMIF(Monthly[Type],"&lt;&gt;Income",Monthly[Oct])</f>
        <v>0</v>
      </c>
      <c r="N48" s="60">
        <f>SUMIF(Monthly[Type],"Income",Monthly[Nov])-SUMIF(Monthly[Type],"&lt;&gt;Income",Monthly[Nov])</f>
        <v>0</v>
      </c>
      <c r="O48" s="60">
        <f>SUMIF(Monthly[Type],"Income",Monthly[Dec])-SUMIF(Monthly[Type],"&lt;&gt;Income",Monthly[Dec])</f>
        <v>0</v>
      </c>
      <c r="P48" s="60">
        <f>SUMIF(Monthly[Type],"Income",Monthly[Total])-SUMIF(Monthly[Type],"&lt;&gt;Income",Monthly[Total])</f>
        <v>18380</v>
      </c>
    </row>
    <row r="49" spans="2:16" ht="26.1" customHeight="1">
      <c r="B49" s="83"/>
      <c r="C49" s="83"/>
      <c r="D49" s="83"/>
      <c r="E49" s="83"/>
      <c r="F49" s="83"/>
      <c r="G49" s="83"/>
      <c r="H49" s="83"/>
      <c r="I49" s="83"/>
      <c r="J49" s="83"/>
      <c r="K49" s="83"/>
      <c r="L49" s="83"/>
      <c r="M49" s="83"/>
      <c r="N49" s="83"/>
      <c r="O49" s="83"/>
      <c r="P49" s="83"/>
    </row>
  </sheetData>
  <mergeCells count="2">
    <mergeCell ref="D2:E2"/>
    <mergeCell ref="F2:K2"/>
  </mergeCells>
  <conditionalFormatting sqref="B5:P47">
    <cfRule type="expression" dxfId="70" priority="1">
      <formula>(MOD(ROW(),2)&lt;&gt;0)*($B5="Income")</formula>
    </cfRule>
    <cfRule type="expression" dxfId="69" priority="2">
      <formula>(MOD(ROW(),2)=0)*($B5="Income")</formula>
    </cfRule>
  </conditionalFormatting>
  <dataValidations count="3">
    <dataValidation allowBlank="1" showInputMessage="1" showErrorMessage="1" promptTitle="Monthly Cash Flow" prompt="_x000a_Create Monthly Cash Flow Statement in this worksheet. _x000a__x000a_Enter details in Monthly table. Total Monthly Cash flow is automatically calculated in cell D2. Tip is in cell F2." sqref="A1" xr:uid="{00000000-0002-0000-0200-000001000000}"/>
    <dataValidation allowBlank="1" showInputMessage="1" showErrorMessage="1" prompt="Select Type in this column under this heading. Press ALT+DOWN ARROW for options, then DOWN ARROW and ENTER to make selection. Use heading filters to find specific entries" sqref="B4" xr:uid="{00000000-0002-0000-0200-000003000000}"/>
    <dataValidation allowBlank="1" showInputMessage="1" showErrorMessage="1" prompt="Enter Description in this column under this heading" sqref="C4" xr:uid="{00000000-0002-0000-0200-000004000000}"/>
  </dataValidations>
  <hyperlinks>
    <hyperlink ref="H1" location="Guide!A1" tooltip="Select to navigate to Guide worksheet" display="Navigation button for Guide worksheet is in this cell." xr:uid="{00000000-0004-0000-0200-000000000000}"/>
    <hyperlink ref="K1" location="'Daily Summary'!A1" tooltip="Select to navigate to Daily Summary worksheet" display="DAILY SUMMARY" xr:uid="{00000000-0004-0000-0200-000001000000}"/>
    <hyperlink ref="J1" location="'Monthly Cash Flow'!A1" tooltip="Select to navigate to cell A1 in this worksheet" display="MONTHLY CASH FLOW" xr:uid="{00000000-0004-0000-0200-000002000000}"/>
    <hyperlink ref="I1" location="'Annual Cash Flow'!A1" tooltip="Select to navigate to Annual Cash Flow worksheet" display="ANNUAL CASH FLOW" xr:uid="{00000000-0004-0000-0200-000003000000}"/>
  </hyperlinks>
  <printOptions horizontalCentered="1"/>
  <pageMargins left="0.25" right="0.25" top="0.75" bottom="0.75" header="0.3" footer="0.3"/>
  <pageSetup scale="44" fitToHeight="0" orientation="landscape" r:id="rId1"/>
  <headerFooter differentFirst="1">
    <oddFooter>Page &amp;P of &amp;N</oddFooter>
  </headerFooter>
  <drawing r:id="rId2"/>
  <tableParts count="1">
    <tablePart r:id="rId3"/>
  </tableParts>
  <extLst>
    <ext xmlns:x14="http://schemas.microsoft.com/office/spreadsheetml/2009/9/main" uri="{05C60535-1F16-4fd2-B633-F4F36F0B64E0}">
      <x14:sparklineGroups xmlns:xm="http://schemas.microsoft.com/office/excel/2006/main">
        <x14:sparklineGroup manualMax="0" manualMin="0" displayEmptyCellsAs="gap" markers="1" xr2:uid="{00000000-0003-0000-0200-000000000000}">
          <x14:colorSeries theme="3" tint="0.249977111117893"/>
          <x14:colorNegative theme="5"/>
          <x14:colorAxis rgb="FF000000"/>
          <x14:colorMarkers theme="4" tint="-0.499984740745262"/>
          <x14:colorFirst theme="4" tint="0.39997558519241921"/>
          <x14:colorLast theme="4" tint="0.39997558519241921"/>
          <x14:colorHigh theme="4"/>
          <x14:colorLow theme="4"/>
          <x14:sparklines>
            <x14:sparkline>
              <xm:f>'Monthly cash flow'!D5:O5</xm:f>
              <xm:sqref>Q5</xm:sqref>
            </x14:sparkline>
            <x14:sparkline>
              <xm:f>'Monthly cash flow'!D6:O6</xm:f>
              <xm:sqref>Q6</xm:sqref>
            </x14:sparkline>
            <x14:sparkline>
              <xm:f>'Monthly cash flow'!D7:O7</xm:f>
              <xm:sqref>Q7</xm:sqref>
            </x14:sparkline>
            <x14:sparkline>
              <xm:f>'Monthly cash flow'!D8:O8</xm:f>
              <xm:sqref>Q8</xm:sqref>
            </x14:sparkline>
            <x14:sparkline>
              <xm:f>'Monthly cash flow'!D9:O9</xm:f>
              <xm:sqref>Q9</xm:sqref>
            </x14:sparkline>
            <x14:sparkline>
              <xm:f>'Monthly cash flow'!D10:O10</xm:f>
              <xm:sqref>Q10</xm:sqref>
            </x14:sparkline>
            <x14:sparkline>
              <xm:f>'Monthly cash flow'!D11:O11</xm:f>
              <xm:sqref>Q11</xm:sqref>
            </x14:sparkline>
            <x14:sparkline>
              <xm:f>'Monthly cash flow'!D12:O12</xm:f>
              <xm:sqref>Q12</xm:sqref>
            </x14:sparkline>
            <x14:sparkline>
              <xm:f>'Monthly cash flow'!D13:O13</xm:f>
              <xm:sqref>Q13</xm:sqref>
            </x14:sparkline>
            <x14:sparkline>
              <xm:f>'Monthly cash flow'!D14:O14</xm:f>
              <xm:sqref>Q14</xm:sqref>
            </x14:sparkline>
            <x14:sparkline>
              <xm:f>'Monthly cash flow'!D15:O15</xm:f>
              <xm:sqref>Q15</xm:sqref>
            </x14:sparkline>
            <x14:sparkline>
              <xm:f>'Monthly cash flow'!D16:O16</xm:f>
              <xm:sqref>Q16</xm:sqref>
            </x14:sparkline>
            <x14:sparkline>
              <xm:f>'Monthly cash flow'!D17:O17</xm:f>
              <xm:sqref>Q17</xm:sqref>
            </x14:sparkline>
            <x14:sparkline>
              <xm:f>'Monthly cash flow'!D18:O18</xm:f>
              <xm:sqref>Q18</xm:sqref>
            </x14:sparkline>
            <x14:sparkline>
              <xm:f>'Monthly cash flow'!D19:O19</xm:f>
              <xm:sqref>Q19</xm:sqref>
            </x14:sparkline>
            <x14:sparkline>
              <xm:f>'Monthly cash flow'!D20:O20</xm:f>
              <xm:sqref>Q20</xm:sqref>
            </x14:sparkline>
            <x14:sparkline>
              <xm:f>'Monthly cash flow'!D21:O21</xm:f>
              <xm:sqref>Q21</xm:sqref>
            </x14:sparkline>
            <x14:sparkline>
              <xm:f>'Monthly cash flow'!D22:O22</xm:f>
              <xm:sqref>Q22</xm:sqref>
            </x14:sparkline>
            <x14:sparkline>
              <xm:f>'Monthly cash flow'!D23:O23</xm:f>
              <xm:sqref>Q23</xm:sqref>
            </x14:sparkline>
            <x14:sparkline>
              <xm:f>'Monthly cash flow'!D24:O24</xm:f>
              <xm:sqref>Q24</xm:sqref>
            </x14:sparkline>
            <x14:sparkline>
              <xm:f>'Monthly cash flow'!D25:O25</xm:f>
              <xm:sqref>Q25</xm:sqref>
            </x14:sparkline>
            <x14:sparkline>
              <xm:f>'Monthly cash flow'!D26:O26</xm:f>
              <xm:sqref>Q26</xm:sqref>
            </x14:sparkline>
            <x14:sparkline>
              <xm:f>'Monthly cash flow'!D27:O27</xm:f>
              <xm:sqref>Q27</xm:sqref>
            </x14:sparkline>
            <x14:sparkline>
              <xm:f>'Monthly cash flow'!D28:O28</xm:f>
              <xm:sqref>Q28</xm:sqref>
            </x14:sparkline>
            <x14:sparkline>
              <xm:f>'Monthly cash flow'!D29:O29</xm:f>
              <xm:sqref>Q29</xm:sqref>
            </x14:sparkline>
            <x14:sparkline>
              <xm:f>'Monthly cash flow'!D30:O30</xm:f>
              <xm:sqref>Q30</xm:sqref>
            </x14:sparkline>
            <x14:sparkline>
              <xm:f>'Monthly cash flow'!D31:O31</xm:f>
              <xm:sqref>Q31</xm:sqref>
            </x14:sparkline>
            <x14:sparkline>
              <xm:f>'Monthly cash flow'!D32:O32</xm:f>
              <xm:sqref>Q32</xm:sqref>
            </x14:sparkline>
            <x14:sparkline>
              <xm:f>'Monthly cash flow'!D33:O33</xm:f>
              <xm:sqref>Q33</xm:sqref>
            </x14:sparkline>
            <x14:sparkline>
              <xm:f>'Monthly cash flow'!D34:O34</xm:f>
              <xm:sqref>Q34</xm:sqref>
            </x14:sparkline>
            <x14:sparkline>
              <xm:f>'Monthly cash flow'!D35:O35</xm:f>
              <xm:sqref>Q35</xm:sqref>
            </x14:sparkline>
            <x14:sparkline>
              <xm:f>'Monthly cash flow'!D36:O36</xm:f>
              <xm:sqref>Q36</xm:sqref>
            </x14:sparkline>
            <x14:sparkline>
              <xm:f>'Monthly cash flow'!D37:O37</xm:f>
              <xm:sqref>Q37</xm:sqref>
            </x14:sparkline>
            <x14:sparkline>
              <xm:f>'Monthly cash flow'!D38:O38</xm:f>
              <xm:sqref>Q38</xm:sqref>
            </x14:sparkline>
            <x14:sparkline>
              <xm:f>'Monthly cash flow'!D39:O39</xm:f>
              <xm:sqref>Q39</xm:sqref>
            </x14:sparkline>
            <x14:sparkline>
              <xm:f>'Monthly cash flow'!D40:O40</xm:f>
              <xm:sqref>Q40</xm:sqref>
            </x14:sparkline>
            <x14:sparkline>
              <xm:f>'Monthly cash flow'!D41:O41</xm:f>
              <xm:sqref>Q41</xm:sqref>
            </x14:sparkline>
            <x14:sparkline>
              <xm:f>'Monthly cash flow'!D42:O42</xm:f>
              <xm:sqref>Q42</xm:sqref>
            </x14:sparkline>
            <x14:sparkline>
              <xm:f>'Monthly cash flow'!D43:O43</xm:f>
              <xm:sqref>Q43</xm:sqref>
            </x14:sparkline>
            <x14:sparkline>
              <xm:f>'Monthly cash flow'!D44:O44</xm:f>
              <xm:sqref>Q44</xm:sqref>
            </x14:sparkline>
            <x14:sparkline>
              <xm:f>'Monthly cash flow'!D45:O45</xm:f>
              <xm:sqref>Q45</xm:sqref>
            </x14:sparkline>
            <x14:sparkline>
              <xm:f>'Monthly cash flow'!D46:O46</xm:f>
              <xm:sqref>Q46</xm:sqref>
            </x14:sparkline>
            <x14:sparkline>
              <xm:f>'Monthly cash flow'!D47:O47</xm:f>
              <xm:sqref>Q47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pageSetUpPr autoPageBreaks="0" fitToPage="1"/>
  </sheetPr>
  <dimension ref="A1:AC29"/>
  <sheetViews>
    <sheetView showGridLines="0" zoomScaleNormal="100" workbookViewId="0"/>
  </sheetViews>
  <sheetFormatPr defaultColWidth="20.77734375" defaultRowHeight="13.9"/>
  <cols>
    <col min="1" max="1" width="1.77734375" style="2" customWidth="1"/>
    <col min="2" max="2" width="14.77734375" style="2" customWidth="1"/>
    <col min="3" max="3" width="12.77734375" style="2" customWidth="1"/>
    <col min="4" max="4" width="16.77734375" style="2" customWidth="1"/>
    <col min="5" max="5" width="2.6640625" style="2" customWidth="1"/>
    <col min="6" max="8" width="14.77734375" style="2" customWidth="1"/>
    <col min="9" max="9" width="2.6640625" style="2" customWidth="1"/>
    <col min="10" max="12" width="14.77734375" style="2" customWidth="1"/>
    <col min="13" max="13" width="2.6640625" style="2" customWidth="1"/>
    <col min="14" max="16" width="14.77734375" style="2" customWidth="1"/>
    <col min="17" max="17" width="1.77734375" style="2" customWidth="1"/>
    <col min="18" max="19" width="20.77734375" style="2" hidden="1" customWidth="1"/>
    <col min="20" max="20" width="1.77734375" style="2" hidden="1" customWidth="1"/>
    <col min="21" max="22" width="20.77734375" style="2" hidden="1" customWidth="1"/>
    <col min="23" max="23" width="1.77734375" style="2" hidden="1" customWidth="1"/>
    <col min="24" max="25" width="20.77734375" style="2" hidden="1" customWidth="1"/>
    <col min="26" max="26" width="1.77734375" style="2" hidden="1" customWidth="1"/>
    <col min="27" max="28" width="20.77734375" style="2" hidden="1" customWidth="1"/>
    <col min="29" max="16384" width="20.77734375" style="2"/>
  </cols>
  <sheetData>
    <row r="1" spans="1:29" s="16" customFormat="1" ht="44.1" customHeight="1">
      <c r="A1" s="18"/>
      <c r="B1" s="16" t="s">
        <v>1</v>
      </c>
      <c r="Q1" s="16" t="s">
        <v>0</v>
      </c>
    </row>
    <row r="2" spans="1:29" s="3" customFormat="1" ht="44.1" customHeight="1">
      <c r="B2" s="87"/>
      <c r="C2" s="87" t="s">
        <v>74</v>
      </c>
      <c r="D2" s="94">
        <f>AnnualCashFlowToDate</f>
        <v>42250</v>
      </c>
      <c r="E2" s="94"/>
      <c r="F2" s="65"/>
      <c r="G2" s="92" t="s">
        <v>75</v>
      </c>
      <c r="H2" s="92"/>
      <c r="I2" s="92"/>
      <c r="J2" s="92"/>
      <c r="K2" s="92"/>
      <c r="L2" s="92"/>
      <c r="M2" s="41"/>
      <c r="N2" s="41"/>
      <c r="O2" s="23"/>
      <c r="P2" s="23"/>
    </row>
    <row r="3" spans="1:29" s="3" customFormat="1" ht="33.950000000000003" customHeight="1">
      <c r="B3" s="19"/>
      <c r="C3" s="19"/>
      <c r="D3" s="20"/>
      <c r="E3" s="20"/>
      <c r="F3" s="20"/>
      <c r="G3" s="21"/>
      <c r="H3" s="21"/>
      <c r="I3" s="21"/>
      <c r="J3" s="21"/>
      <c r="K3" s="21"/>
      <c r="L3" s="21"/>
      <c r="M3" s="21"/>
      <c r="N3" s="21"/>
      <c r="O3" s="21"/>
      <c r="P3" s="21"/>
    </row>
    <row r="4" spans="1:29" s="22" customFormat="1" ht="33.950000000000003" customHeight="1" thickBot="1">
      <c r="B4" s="95" t="s">
        <v>76</v>
      </c>
      <c r="C4" s="95"/>
      <c r="D4" s="95"/>
      <c r="F4" s="95" t="s">
        <v>77</v>
      </c>
      <c r="G4" s="95"/>
      <c r="H4" s="95"/>
      <c r="J4" s="95" t="s">
        <v>78</v>
      </c>
      <c r="K4" s="95"/>
      <c r="L4" s="95"/>
      <c r="N4" s="95" t="s">
        <v>79</v>
      </c>
      <c r="O4" s="95"/>
      <c r="P4" s="95"/>
    </row>
    <row r="5" spans="1:29" customFormat="1" ht="33.950000000000003" customHeight="1">
      <c r="B5" s="14" t="s">
        <v>80</v>
      </c>
      <c r="C5" s="99">
        <f>Income!C11</f>
        <v>125000</v>
      </c>
      <c r="D5" s="99"/>
      <c r="F5" s="14" t="s">
        <v>80</v>
      </c>
      <c r="G5" s="99">
        <f>Expenses[[#Totals],[Annual  ]]</f>
        <v>46500</v>
      </c>
      <c r="H5" s="99"/>
      <c r="J5" s="14" t="s">
        <v>80</v>
      </c>
      <c r="K5" s="99">
        <f>Discretionary[[#Totals],[Annual  ]]</f>
        <v>13250</v>
      </c>
      <c r="L5" s="99"/>
      <c r="N5" s="15" t="s">
        <v>80</v>
      </c>
      <c r="O5" s="97">
        <f>Savings[[#Totals],[Annual  ]]</f>
        <v>23000</v>
      </c>
      <c r="P5" s="97"/>
    </row>
    <row r="6" spans="1:29" ht="339.95" customHeight="1">
      <c r="B6" s="84"/>
      <c r="C6" s="84"/>
      <c r="D6" s="84"/>
      <c r="F6" s="84"/>
      <c r="G6" s="84"/>
      <c r="H6" s="84"/>
      <c r="J6" s="84"/>
      <c r="K6" s="84"/>
      <c r="L6" s="84"/>
      <c r="N6" s="84"/>
      <c r="O6" s="84"/>
      <c r="P6" s="84"/>
    </row>
    <row r="7" spans="1:29" ht="12" customHeight="1">
      <c r="B7" s="29"/>
      <c r="C7" s="29"/>
      <c r="D7" s="29"/>
      <c r="F7" s="29"/>
      <c r="G7" s="29"/>
      <c r="H7" s="29"/>
      <c r="J7" s="29"/>
      <c r="K7" s="29"/>
      <c r="L7" s="29"/>
      <c r="N7" s="29"/>
      <c r="O7" s="29"/>
      <c r="P7" s="29"/>
    </row>
    <row r="8" spans="1:29" customFormat="1" ht="33.950000000000003" customHeight="1">
      <c r="B8" s="80" t="s">
        <v>81</v>
      </c>
      <c r="C8" s="98">
        <f>Income!D11</f>
        <v>10416.666666666668</v>
      </c>
      <c r="D8" s="98"/>
      <c r="F8" s="80" t="s">
        <v>81</v>
      </c>
      <c r="G8" s="98">
        <f>Expenses[[#Totals],[Monthly ]]</f>
        <v>3875</v>
      </c>
      <c r="H8" s="98"/>
      <c r="J8" s="80" t="s">
        <v>81</v>
      </c>
      <c r="K8" s="98">
        <f>Discretionary[[#Totals],[Monthly ]]</f>
        <v>1104.1666666666665</v>
      </c>
      <c r="L8" s="98"/>
      <c r="N8" s="81" t="s">
        <v>81</v>
      </c>
      <c r="O8" s="96">
        <f>Savings!D10</f>
        <v>1916.6666666666667</v>
      </c>
      <c r="P8" s="96"/>
    </row>
    <row r="10" spans="1:29">
      <c r="R10" s="79" t="s">
        <v>82</v>
      </c>
      <c r="S10" t="s">
        <v>83</v>
      </c>
      <c r="T10"/>
      <c r="U10" s="79" t="s">
        <v>82</v>
      </c>
      <c r="V10" t="s">
        <v>84</v>
      </c>
      <c r="W10"/>
      <c r="X10" s="79" t="s">
        <v>82</v>
      </c>
      <c r="Y10" t="s">
        <v>84</v>
      </c>
      <c r="Z10"/>
      <c r="AA10" s="79" t="s">
        <v>82</v>
      </c>
      <c r="AB10" t="s">
        <v>84</v>
      </c>
    </row>
    <row r="11" spans="1:29">
      <c r="R11" s="88" t="s">
        <v>26</v>
      </c>
      <c r="S11" s="89">
        <v>0</v>
      </c>
      <c r="T11"/>
      <c r="U11" s="88" t="s">
        <v>25</v>
      </c>
      <c r="V11" s="90">
        <v>0</v>
      </c>
      <c r="W11"/>
      <c r="X11" s="88" t="s">
        <v>26</v>
      </c>
      <c r="Y11" s="89">
        <v>0</v>
      </c>
      <c r="Z11"/>
      <c r="AA11" s="88" t="s">
        <v>25</v>
      </c>
      <c r="AB11" s="89">
        <v>0</v>
      </c>
      <c r="AC11"/>
    </row>
    <row r="12" spans="1:29">
      <c r="R12" s="88" t="s">
        <v>27</v>
      </c>
      <c r="S12" s="89">
        <v>0</v>
      </c>
      <c r="T12"/>
      <c r="U12" s="88" t="s">
        <v>26</v>
      </c>
      <c r="V12" s="90">
        <v>0</v>
      </c>
      <c r="W12"/>
      <c r="X12" s="88" t="s">
        <v>25</v>
      </c>
      <c r="Y12" s="89">
        <v>0</v>
      </c>
      <c r="Z12"/>
      <c r="AA12" s="88" t="s">
        <v>26</v>
      </c>
      <c r="AB12" s="89">
        <v>0</v>
      </c>
      <c r="AC12"/>
    </row>
    <row r="13" spans="1:29">
      <c r="R13" s="88" t="s">
        <v>28</v>
      </c>
      <c r="S13" s="89">
        <v>0</v>
      </c>
      <c r="T13"/>
      <c r="U13" s="88" t="s">
        <v>39</v>
      </c>
      <c r="V13" s="90">
        <v>150</v>
      </c>
      <c r="W13"/>
      <c r="X13" s="88" t="s">
        <v>85</v>
      </c>
      <c r="Y13" s="89">
        <v>300</v>
      </c>
      <c r="Z13"/>
      <c r="AA13" s="88" t="s">
        <v>86</v>
      </c>
      <c r="AB13" s="89">
        <v>5000</v>
      </c>
      <c r="AC13"/>
    </row>
    <row r="14" spans="1:29">
      <c r="R14" s="88" t="s">
        <v>24</v>
      </c>
      <c r="S14" s="89">
        <v>5000</v>
      </c>
      <c r="T14"/>
      <c r="U14" s="88" t="s">
        <v>87</v>
      </c>
      <c r="V14" s="90">
        <v>200</v>
      </c>
      <c r="W14"/>
      <c r="X14" s="88" t="s">
        <v>88</v>
      </c>
      <c r="Y14" s="89">
        <v>300</v>
      </c>
      <c r="Z14"/>
      <c r="AA14" s="88" t="s">
        <v>89</v>
      </c>
      <c r="AB14" s="89">
        <v>6000</v>
      </c>
      <c r="AC14"/>
    </row>
    <row r="15" spans="1:29">
      <c r="R15" s="88" t="s">
        <v>25</v>
      </c>
      <c r="S15" s="89">
        <v>30000</v>
      </c>
      <c r="T15"/>
      <c r="U15" s="88" t="s">
        <v>34</v>
      </c>
      <c r="V15" s="90">
        <v>250</v>
      </c>
      <c r="W15"/>
      <c r="X15" s="88" t="s">
        <v>48</v>
      </c>
      <c r="Y15" s="89">
        <v>600</v>
      </c>
      <c r="Z15"/>
      <c r="AA15" s="88" t="s">
        <v>90</v>
      </c>
      <c r="AB15" s="89">
        <v>12000</v>
      </c>
      <c r="AC15"/>
    </row>
    <row r="16" spans="1:29">
      <c r="R16" s="88" t="s">
        <v>23</v>
      </c>
      <c r="S16" s="89">
        <v>90000</v>
      </c>
      <c r="T16"/>
      <c r="U16" s="88" t="s">
        <v>41</v>
      </c>
      <c r="V16" s="90">
        <v>600</v>
      </c>
      <c r="W16"/>
      <c r="X16" s="88" t="s">
        <v>53</v>
      </c>
      <c r="Y16" s="89">
        <v>600</v>
      </c>
      <c r="Z16"/>
      <c r="AA16" s="88" t="s">
        <v>91</v>
      </c>
      <c r="AB16" s="89">
        <v>23000</v>
      </c>
      <c r="AC16"/>
    </row>
    <row r="17" spans="18:29">
      <c r="R17" s="88" t="s">
        <v>91</v>
      </c>
      <c r="S17" s="89">
        <v>125000</v>
      </c>
      <c r="T17"/>
      <c r="U17" s="88" t="s">
        <v>36</v>
      </c>
      <c r="V17" s="90">
        <v>600</v>
      </c>
      <c r="W17"/>
      <c r="X17" s="88" t="s">
        <v>50</v>
      </c>
      <c r="Y17" s="89">
        <v>1200</v>
      </c>
      <c r="Z17"/>
      <c r="AC17"/>
    </row>
    <row r="18" spans="18:29">
      <c r="R18"/>
      <c r="S18"/>
      <c r="T18"/>
      <c r="U18" s="88" t="s">
        <v>92</v>
      </c>
      <c r="V18" s="90">
        <v>600</v>
      </c>
      <c r="W18"/>
      <c r="X18" s="88" t="s">
        <v>47</v>
      </c>
      <c r="Y18" s="89">
        <v>1200</v>
      </c>
      <c r="Z18"/>
      <c r="AA18"/>
      <c r="AB18"/>
      <c r="AC18"/>
    </row>
    <row r="19" spans="18:29">
      <c r="R19"/>
      <c r="S19"/>
      <c r="T19"/>
      <c r="U19" s="88" t="s">
        <v>40</v>
      </c>
      <c r="V19" s="90">
        <v>600</v>
      </c>
      <c r="W19"/>
      <c r="X19" s="88" t="s">
        <v>52</v>
      </c>
      <c r="Y19" s="89">
        <v>2000</v>
      </c>
      <c r="Z19"/>
      <c r="AA19"/>
      <c r="AB19"/>
      <c r="AC19"/>
    </row>
    <row r="20" spans="18:29">
      <c r="R20"/>
      <c r="S20"/>
      <c r="T20"/>
      <c r="U20" s="88" t="s">
        <v>93</v>
      </c>
      <c r="V20" s="90">
        <v>600</v>
      </c>
      <c r="W20"/>
      <c r="X20" s="88" t="s">
        <v>49</v>
      </c>
      <c r="Y20" s="89">
        <v>2250</v>
      </c>
      <c r="Z20"/>
      <c r="AA20"/>
      <c r="AB20"/>
      <c r="AC20"/>
    </row>
    <row r="21" spans="18:29">
      <c r="R21"/>
      <c r="S21"/>
      <c r="T21"/>
      <c r="U21" s="88" t="s">
        <v>35</v>
      </c>
      <c r="V21" s="90">
        <v>1200</v>
      </c>
      <c r="W21"/>
      <c r="X21" s="88" t="s">
        <v>94</v>
      </c>
      <c r="Y21" s="89">
        <v>4800</v>
      </c>
      <c r="Z21"/>
      <c r="AA21"/>
      <c r="AB21"/>
      <c r="AC21"/>
    </row>
    <row r="22" spans="18:29">
      <c r="R22"/>
      <c r="S22"/>
      <c r="T22"/>
      <c r="U22" s="88" t="s">
        <v>44</v>
      </c>
      <c r="V22" s="90">
        <v>1200</v>
      </c>
      <c r="W22"/>
      <c r="X22" s="88" t="s">
        <v>91</v>
      </c>
      <c r="Y22" s="89">
        <v>13250</v>
      </c>
      <c r="Z22"/>
      <c r="AA22"/>
      <c r="AB22"/>
      <c r="AC22"/>
    </row>
    <row r="23" spans="18:29">
      <c r="R23"/>
      <c r="S23"/>
      <c r="T23"/>
      <c r="U23" s="88" t="s">
        <v>95</v>
      </c>
      <c r="V23" s="90">
        <v>1500</v>
      </c>
      <c r="W23"/>
      <c r="X23"/>
      <c r="Y23"/>
      <c r="Z23"/>
      <c r="AA23"/>
      <c r="AB23"/>
      <c r="AC23"/>
    </row>
    <row r="24" spans="18:29">
      <c r="R24"/>
      <c r="S24"/>
      <c r="T24"/>
      <c r="U24" s="88" t="s">
        <v>96</v>
      </c>
      <c r="V24" s="90">
        <v>2500</v>
      </c>
      <c r="W24"/>
      <c r="X24"/>
      <c r="Y24"/>
      <c r="Z24"/>
      <c r="AC24"/>
    </row>
    <row r="25" spans="18:29">
      <c r="R25"/>
      <c r="S25"/>
      <c r="T25"/>
      <c r="U25" s="88" t="s">
        <v>97</v>
      </c>
      <c r="V25" s="90">
        <v>4000</v>
      </c>
      <c r="W25"/>
      <c r="X25"/>
      <c r="Y25"/>
      <c r="Z25"/>
      <c r="AC25"/>
    </row>
    <row r="26" spans="18:29">
      <c r="R26"/>
      <c r="S26"/>
      <c r="T26"/>
      <c r="U26" s="88" t="s">
        <v>43</v>
      </c>
      <c r="V26" s="90">
        <v>5000</v>
      </c>
      <c r="W26"/>
      <c r="X26"/>
      <c r="Y26"/>
      <c r="Z26"/>
      <c r="AC26"/>
    </row>
    <row r="27" spans="18:29">
      <c r="R27"/>
      <c r="S27"/>
      <c r="T27"/>
      <c r="U27" s="88" t="s">
        <v>29</v>
      </c>
      <c r="V27" s="90">
        <v>12500</v>
      </c>
      <c r="W27"/>
      <c r="X27"/>
      <c r="Y27"/>
      <c r="Z27"/>
      <c r="AC27"/>
    </row>
    <row r="28" spans="18:29">
      <c r="U28" s="88" t="s">
        <v>98</v>
      </c>
      <c r="V28" s="90">
        <v>15000</v>
      </c>
      <c r="AC28"/>
    </row>
    <row r="29" spans="18:29">
      <c r="U29" s="88" t="s">
        <v>91</v>
      </c>
      <c r="V29" s="90">
        <v>46500</v>
      </c>
    </row>
  </sheetData>
  <mergeCells count="14">
    <mergeCell ref="D2:E2"/>
    <mergeCell ref="G2:L2"/>
    <mergeCell ref="N4:P4"/>
    <mergeCell ref="O8:P8"/>
    <mergeCell ref="O5:P5"/>
    <mergeCell ref="B4:D4"/>
    <mergeCell ref="F4:H4"/>
    <mergeCell ref="J4:L4"/>
    <mergeCell ref="K8:L8"/>
    <mergeCell ref="K5:L5"/>
    <mergeCell ref="C8:D8"/>
    <mergeCell ref="G8:H8"/>
    <mergeCell ref="G5:H5"/>
    <mergeCell ref="C5:D5"/>
  </mergeCells>
  <dataValidations count="1">
    <dataValidation allowBlank="1" showInputMessage="1" showErrorMessage="1" prompt="Bar chart showing income from various sources is in this cell" sqref="B7:D7" xr:uid="{00000000-0002-0000-0300-000016000000}"/>
  </dataValidations>
  <hyperlinks>
    <hyperlink ref="J1" location="Guide!A1" tooltip="Select to navigate to Guide worksheet" display="Navigation button for Guide worksheet is in this cell." xr:uid="{00000000-0004-0000-0300-000000000000}"/>
    <hyperlink ref="H1:I1" location="'Annual Cash Flow'!A1" tooltip="Select to navigate to cell A1 in this worksheet" display="ANNUAL CASH FLOW" xr:uid="{00000000-0004-0000-0300-000001000000}"/>
    <hyperlink ref="L1" location="'Monthly Cash Flow'!A1" tooltip="Select to navigate to Monthly Cash Flow worksheet" display="'Monthly Cash Flow'!A1" xr:uid="{00000000-0004-0000-0300-000002000000}"/>
  </hyperlinks>
  <printOptions horizontalCentered="1"/>
  <pageMargins left="0.25" right="0.25" top="0.75" bottom="0.75" header="0.3" footer="0.3"/>
  <pageSetup scale="57" fitToHeight="0" orientation="landscape" r:id="rId5"/>
  <headerFooter differentFirst="1">
    <oddFooter>Page &amp;P of &amp;N</oddFooter>
  </headerFooter>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pageSetUpPr autoPageBreaks="0" fitToPage="1"/>
  </sheetPr>
  <dimension ref="A1:I11"/>
  <sheetViews>
    <sheetView showGridLines="0" zoomScaleNormal="100" workbookViewId="0"/>
  </sheetViews>
  <sheetFormatPr defaultColWidth="16.6640625" defaultRowHeight="30" customHeight="1"/>
  <cols>
    <col min="1" max="1" width="1.77734375" style="25" customWidth="1"/>
    <col min="2" max="2" width="20.77734375" style="25" customWidth="1"/>
    <col min="3" max="9" width="14.77734375" style="25" customWidth="1"/>
    <col min="10" max="10" width="1.77734375" style="25" customWidth="1"/>
    <col min="11" max="16384" width="16.6640625" style="25"/>
  </cols>
  <sheetData>
    <row r="1" spans="1:9" s="16" customFormat="1" ht="44.1" customHeight="1">
      <c r="A1" s="18"/>
      <c r="B1" s="16" t="s">
        <v>1</v>
      </c>
    </row>
    <row r="2" spans="1:9" s="3" customFormat="1" ht="44.1" customHeight="1">
      <c r="B2" s="85"/>
      <c r="C2" s="85" t="s">
        <v>74</v>
      </c>
      <c r="D2" s="101">
        <f>AnnualCashFlowToDate</f>
        <v>42250</v>
      </c>
      <c r="E2" s="101"/>
      <c r="F2" s="92" t="s">
        <v>99</v>
      </c>
      <c r="G2" s="92"/>
      <c r="H2" s="92"/>
      <c r="I2" s="92"/>
    </row>
    <row r="3" spans="1:9" s="2" customFormat="1" ht="33.950000000000003" customHeight="1">
      <c r="B3" s="63"/>
      <c r="C3" s="63"/>
      <c r="D3" s="64"/>
      <c r="E3" s="64"/>
      <c r="F3" s="91"/>
      <c r="G3" s="91"/>
      <c r="H3" s="91"/>
      <c r="I3" s="91"/>
    </row>
    <row r="4" spans="1:9" s="38" customFormat="1" ht="33.950000000000003" customHeight="1">
      <c r="B4" s="62" t="s">
        <v>16</v>
      </c>
      <c r="C4" s="66" t="s">
        <v>100</v>
      </c>
      <c r="D4" s="66" t="s">
        <v>101</v>
      </c>
      <c r="F4" s="67"/>
      <c r="G4" s="67"/>
      <c r="H4" s="67"/>
      <c r="I4" s="67"/>
    </row>
    <row r="5" spans="1:9" ht="30" customHeight="1">
      <c r="B5" s="68" t="s">
        <v>23</v>
      </c>
      <c r="C5" s="69">
        <v>90000</v>
      </c>
      <c r="D5" s="69">
        <f>Income[[#This Row],[Annual  ]]/12</f>
        <v>7500</v>
      </c>
    </row>
    <row r="6" spans="1:9" ht="30" customHeight="1">
      <c r="B6" s="68" t="s">
        <v>24</v>
      </c>
      <c r="C6" s="69">
        <v>5000</v>
      </c>
      <c r="D6" s="69">
        <f>Income[[#This Row],[Annual  ]]/12</f>
        <v>416.66666666666669</v>
      </c>
    </row>
    <row r="7" spans="1:9" ht="30" customHeight="1">
      <c r="B7" s="68" t="s">
        <v>25</v>
      </c>
      <c r="C7" s="69">
        <v>30000</v>
      </c>
      <c r="D7" s="69">
        <f>Income[[#This Row],[Annual  ]]/12</f>
        <v>2500</v>
      </c>
    </row>
    <row r="8" spans="1:9" ht="30" customHeight="1">
      <c r="B8" s="68" t="s">
        <v>26</v>
      </c>
      <c r="C8" s="69">
        <v>0</v>
      </c>
      <c r="D8" s="69">
        <f>Income[[#This Row],[Annual  ]]/12</f>
        <v>0</v>
      </c>
    </row>
    <row r="9" spans="1:9" ht="30" customHeight="1">
      <c r="B9" s="68" t="s">
        <v>27</v>
      </c>
      <c r="C9" s="69">
        <v>0</v>
      </c>
      <c r="D9" s="69">
        <f>Income[[#This Row],[Annual  ]]/12</f>
        <v>0</v>
      </c>
    </row>
    <row r="10" spans="1:9" ht="30" customHeight="1">
      <c r="B10" s="68" t="s">
        <v>28</v>
      </c>
      <c r="C10" s="69">
        <v>0</v>
      </c>
      <c r="D10" s="69">
        <f>Income[[#This Row],[Annual  ]]/12</f>
        <v>0</v>
      </c>
    </row>
    <row r="11" spans="1:9" s="42" customFormat="1" ht="30" customHeight="1">
      <c r="B11" s="68" t="s">
        <v>59</v>
      </c>
      <c r="C11" s="69">
        <f>SUBTOTAL(109,Income[[Annual  ]])</f>
        <v>125000</v>
      </c>
      <c r="D11" s="69">
        <f>SUBTOTAL(109,Income[[Monthly ]])</f>
        <v>10416.666666666668</v>
      </c>
    </row>
  </sheetData>
  <mergeCells count="2">
    <mergeCell ref="D2:E2"/>
    <mergeCell ref="F2:I3"/>
  </mergeCells>
  <dataValidations xWindow="999" yWindow="322" count="1">
    <dataValidation allowBlank="1" showInputMessage="1" showErrorMessage="1" prompt="Total Cash Flow to Date is automatically calculated in cell at right" sqref="B2:C2" xr:uid="{00000000-0002-0000-0400-000005000000}"/>
  </dataValidations>
  <hyperlinks>
    <hyperlink ref="I1" location="Expenses!A1" tooltip="Select to navigate to Expenses worksheet" display="EXPENSES" xr:uid="{00000000-0004-0000-0400-000000000000}"/>
    <hyperlink ref="F1" location="Guide!A1" tooltip="Select to navigate to Guide worksheet" display="Navigation button for Guide worksheet is in this cell." xr:uid="{00000000-0004-0000-0400-000001000000}"/>
    <hyperlink ref="G1" location="'Daily Summary'!A1" tooltip="Select to navigate to Daily Summary worksheet" display="DAILY SUMMARY" xr:uid="{00000000-0004-0000-0400-000002000000}"/>
    <hyperlink ref="H1" location="Income!A1" tooltip="Select to navigate to cell A1 in this worksheet" display="INCOME" xr:uid="{00000000-0004-0000-0400-000003000000}"/>
  </hyperlinks>
  <printOptions horizontalCentered="1"/>
  <pageMargins left="0.25" right="0.25" top="0.5" bottom="0.5" header="0.3" footer="0.3"/>
  <pageSetup scale="84" fitToHeight="0" orientation="landscape" r:id="rId1"/>
  <headerFooter differentFirst="1">
    <oddFooter>Page &amp;P of &amp;N</oddFooter>
  </headerFooter>
  <ignoredErrors>
    <ignoredError sqref="D8:D10" emptyCellReference="1"/>
  </ignoredError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pageSetUpPr autoPageBreaks="0" fitToPage="1"/>
  </sheetPr>
  <dimension ref="A1:I23"/>
  <sheetViews>
    <sheetView showGridLines="0" zoomScaleNormal="100" workbookViewId="0"/>
  </sheetViews>
  <sheetFormatPr defaultColWidth="16.6640625" defaultRowHeight="30" customHeight="1"/>
  <cols>
    <col min="1" max="1" width="1.77734375" style="25" customWidth="1"/>
    <col min="2" max="2" width="20.77734375" style="25" customWidth="1"/>
    <col min="3" max="9" width="14.77734375" style="25" customWidth="1"/>
    <col min="10" max="10" width="1.77734375" style="25" customWidth="1"/>
    <col min="11" max="16384" width="16.6640625" style="25"/>
  </cols>
  <sheetData>
    <row r="1" spans="1:9" s="16" customFormat="1" ht="44.1" customHeight="1">
      <c r="A1" s="18"/>
      <c r="B1" s="16" t="s">
        <v>1</v>
      </c>
    </row>
    <row r="2" spans="1:9" s="3" customFormat="1" ht="44.1" customHeight="1">
      <c r="B2" s="85"/>
      <c r="C2" s="85" t="s">
        <v>74</v>
      </c>
      <c r="D2" s="101">
        <f>AnnualCashFlowToDate</f>
        <v>42250</v>
      </c>
      <c r="E2" s="101"/>
      <c r="F2" s="92" t="s">
        <v>102</v>
      </c>
      <c r="G2" s="92"/>
      <c r="H2" s="92"/>
      <c r="I2" s="92"/>
    </row>
    <row r="3" spans="1:9" s="3" customFormat="1" ht="33.950000000000003" customHeight="1">
      <c r="B3" s="72"/>
      <c r="C3" s="72"/>
      <c r="D3" s="73"/>
      <c r="E3" s="73"/>
      <c r="F3" s="91"/>
      <c r="G3" s="91"/>
      <c r="H3" s="91"/>
      <c r="I3" s="91"/>
    </row>
    <row r="4" spans="1:9" s="39" customFormat="1" ht="33.950000000000003" customHeight="1">
      <c r="B4" s="62" t="s">
        <v>17</v>
      </c>
      <c r="C4" s="82" t="s">
        <v>100</v>
      </c>
      <c r="D4" s="82" t="s">
        <v>101</v>
      </c>
    </row>
    <row r="5" spans="1:9" ht="30" customHeight="1">
      <c r="B5" s="68" t="s">
        <v>29</v>
      </c>
      <c r="C5" s="69">
        <v>12500</v>
      </c>
      <c r="D5" s="69">
        <f>Expenses[[#This Row],[Annual  ]]/12</f>
        <v>1041.6666666666667</v>
      </c>
    </row>
    <row r="6" spans="1:9" ht="30" customHeight="1">
      <c r="B6" s="68" t="s">
        <v>30</v>
      </c>
      <c r="C6" s="69">
        <v>2500</v>
      </c>
      <c r="D6" s="69">
        <f>Expenses[[#This Row],[Annual  ]]/12</f>
        <v>208.33333333333334</v>
      </c>
    </row>
    <row r="7" spans="1:9" ht="30" customHeight="1">
      <c r="B7" s="68" t="s">
        <v>31</v>
      </c>
      <c r="C7" s="69">
        <v>200</v>
      </c>
      <c r="D7" s="69">
        <f>Expenses[[#This Row],[Annual  ]]/12</f>
        <v>16.666666666666668</v>
      </c>
    </row>
    <row r="8" spans="1:9" ht="30" customHeight="1">
      <c r="B8" s="68" t="s">
        <v>32</v>
      </c>
      <c r="C8" s="69">
        <v>4000</v>
      </c>
      <c r="D8" s="69">
        <f>Expenses[[#This Row],[Annual  ]]/12</f>
        <v>333.33333333333331</v>
      </c>
    </row>
    <row r="9" spans="1:9" ht="30" customHeight="1">
      <c r="B9" s="68" t="s">
        <v>33</v>
      </c>
      <c r="C9" s="69">
        <v>15000</v>
      </c>
      <c r="D9" s="69">
        <f>Expenses[[#This Row],[Annual  ]]/12</f>
        <v>1250</v>
      </c>
    </row>
    <row r="10" spans="1:9" ht="30" customHeight="1">
      <c r="B10" s="68" t="s">
        <v>34</v>
      </c>
      <c r="C10" s="69">
        <v>250</v>
      </c>
      <c r="D10" s="69">
        <f>Expenses[[#This Row],[Annual  ]]/12</f>
        <v>20.833333333333332</v>
      </c>
    </row>
    <row r="11" spans="1:9" ht="30" customHeight="1">
      <c r="B11" s="68" t="s">
        <v>35</v>
      </c>
      <c r="C11" s="69">
        <v>1200</v>
      </c>
      <c r="D11" s="69">
        <f>Expenses[[#This Row],[Annual  ]]/12</f>
        <v>100</v>
      </c>
    </row>
    <row r="12" spans="1:9" ht="30" customHeight="1">
      <c r="B12" s="68" t="s">
        <v>36</v>
      </c>
      <c r="C12" s="69">
        <v>600</v>
      </c>
      <c r="D12" s="69">
        <f>Expenses[[#This Row],[Annual  ]]/12</f>
        <v>50</v>
      </c>
    </row>
    <row r="13" spans="1:9" ht="30" customHeight="1">
      <c r="B13" s="68" t="s">
        <v>103</v>
      </c>
      <c r="C13" s="69">
        <v>600</v>
      </c>
      <c r="D13" s="69">
        <f>Expenses[[#This Row],[Annual  ]]/12</f>
        <v>50</v>
      </c>
    </row>
    <row r="14" spans="1:9" ht="30" customHeight="1">
      <c r="B14" s="68" t="s">
        <v>39</v>
      </c>
      <c r="C14" s="69">
        <v>150</v>
      </c>
      <c r="D14" s="69">
        <f>Expenses[[#This Row],[Annual  ]]/12</f>
        <v>12.5</v>
      </c>
    </row>
    <row r="15" spans="1:9" ht="30" customHeight="1">
      <c r="B15" s="68" t="s">
        <v>40</v>
      </c>
      <c r="C15" s="69">
        <v>600</v>
      </c>
      <c r="D15" s="69">
        <f>Expenses[[#This Row],[Annual  ]]/12</f>
        <v>50</v>
      </c>
    </row>
    <row r="16" spans="1:9" ht="30" customHeight="1">
      <c r="B16" s="68" t="s">
        <v>41</v>
      </c>
      <c r="C16" s="69">
        <v>600</v>
      </c>
      <c r="D16" s="69">
        <f>Expenses[[#This Row],[Annual  ]]/12</f>
        <v>50</v>
      </c>
    </row>
    <row r="17" spans="2:4" ht="30" customHeight="1">
      <c r="B17" s="68" t="s">
        <v>42</v>
      </c>
      <c r="C17" s="69">
        <v>1500</v>
      </c>
      <c r="D17" s="69">
        <f>Expenses[[#This Row],[Annual  ]]/12</f>
        <v>125</v>
      </c>
    </row>
    <row r="18" spans="2:4" ht="30" customHeight="1">
      <c r="B18" s="68" t="s">
        <v>43</v>
      </c>
      <c r="C18" s="69">
        <v>5000</v>
      </c>
      <c r="D18" s="69">
        <f>Expenses[[#This Row],[Annual  ]]/12</f>
        <v>416.66666666666669</v>
      </c>
    </row>
    <row r="19" spans="2:4" ht="30" customHeight="1">
      <c r="B19" s="68" t="s">
        <v>44</v>
      </c>
      <c r="C19" s="69">
        <v>1200</v>
      </c>
      <c r="D19" s="69">
        <f>Expenses[[#This Row],[Annual  ]]/12</f>
        <v>100</v>
      </c>
    </row>
    <row r="20" spans="2:4" ht="30" customHeight="1">
      <c r="B20" s="68" t="s">
        <v>45</v>
      </c>
      <c r="C20" s="69">
        <v>600</v>
      </c>
      <c r="D20" s="69">
        <f>Expenses[[#This Row],[Annual  ]]/12</f>
        <v>50</v>
      </c>
    </row>
    <row r="21" spans="2:4" ht="30" customHeight="1">
      <c r="B21" s="68" t="s">
        <v>25</v>
      </c>
      <c r="C21" s="69">
        <v>0</v>
      </c>
      <c r="D21" s="69">
        <f>Expenses[[#This Row],[Annual  ]]/12</f>
        <v>0</v>
      </c>
    </row>
    <row r="22" spans="2:4" ht="30" customHeight="1">
      <c r="B22" s="68" t="s">
        <v>26</v>
      </c>
      <c r="C22" s="69">
        <v>0</v>
      </c>
      <c r="D22" s="69">
        <f>Expenses[[#This Row],[Annual  ]]/12</f>
        <v>0</v>
      </c>
    </row>
    <row r="23" spans="2:4" ht="30" customHeight="1">
      <c r="B23" s="68" t="s">
        <v>59</v>
      </c>
      <c r="C23" s="69">
        <f>SUBTOTAL(109,Expenses[[Annual  ]])</f>
        <v>46500</v>
      </c>
      <c r="D23" s="69">
        <f>SUBTOTAL(109,Expenses[[Monthly ]])</f>
        <v>3875</v>
      </c>
    </row>
  </sheetData>
  <mergeCells count="2">
    <mergeCell ref="D2:E2"/>
    <mergeCell ref="F2:I3"/>
  </mergeCells>
  <dataValidations count="1">
    <dataValidation allowBlank="1" showInputMessage="1" showErrorMessage="1" prompt="Enter details in Expenses table in this worksheet. _x000a__x000a_Total Cash Flow to Date is automatically calculated in cell D2. Tip is in cell F2." sqref="A1" xr:uid="{00000000-0002-0000-0500-000003000000}"/>
  </dataValidations>
  <hyperlinks>
    <hyperlink ref="I1" location="Discretionary!A1" tooltip="Select to navigate to Discretionary worksheet" display="DISCRETIONARY" xr:uid="{00000000-0004-0000-0500-000000000000}"/>
    <hyperlink ref="G1" location="Income!A1" tooltip="Select to navigate to Income worksheet" display="INCOME" xr:uid="{00000000-0004-0000-0500-000001000000}"/>
    <hyperlink ref="F1" location="Guide!A1" tooltip="Select to navigate to Guide worksheet" display="Navigation button for Guide worksheet is in this cell." xr:uid="{00000000-0004-0000-0500-000002000000}"/>
    <hyperlink ref="H1" location="Expenses!A1" tooltip="Select to navigate to cell A1 in this worksheet" display="EXPENSES" xr:uid="{00000000-0004-0000-0500-000003000000}"/>
  </hyperlinks>
  <printOptions horizontalCentered="1"/>
  <pageMargins left="0.25" right="0.25" top="0.5" bottom="0.5" header="0.3" footer="0.3"/>
  <pageSetup scale="84" fitToHeight="0" orientation="landscape" r:id="rId1"/>
  <headerFooter differentFirst="1">
    <oddFooter>Page &amp;P of &amp;N</oddFooter>
  </headerFooter>
  <ignoredErrors>
    <ignoredError sqref="D21:D22" emptyCellReference="1"/>
  </ignoredErrors>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pageSetUpPr autoPageBreaks="0" fitToPage="1"/>
  </sheetPr>
  <dimension ref="A1:J16"/>
  <sheetViews>
    <sheetView showGridLines="0" zoomScaleNormal="100" workbookViewId="0"/>
  </sheetViews>
  <sheetFormatPr defaultColWidth="16.6640625" defaultRowHeight="30" customHeight="1"/>
  <cols>
    <col min="1" max="1" width="1.77734375" style="25" customWidth="1"/>
    <col min="2" max="2" width="20.77734375" style="25" customWidth="1"/>
    <col min="3" max="9" width="14.77734375" style="25" customWidth="1"/>
    <col min="10" max="10" width="1.77734375" style="25" customWidth="1"/>
    <col min="11" max="16384" width="16.6640625" style="25"/>
  </cols>
  <sheetData>
    <row r="1" spans="1:10" s="16" customFormat="1" ht="44.1" customHeight="1">
      <c r="A1" s="18"/>
      <c r="B1" s="16" t="s">
        <v>1</v>
      </c>
    </row>
    <row r="2" spans="1:10" s="3" customFormat="1" ht="44.1" customHeight="1">
      <c r="B2" s="85"/>
      <c r="C2" s="85" t="s">
        <v>74</v>
      </c>
      <c r="D2" s="101">
        <f>AnnualCashFlowToDate</f>
        <v>42250</v>
      </c>
      <c r="E2" s="101"/>
      <c r="F2" s="91" t="s">
        <v>102</v>
      </c>
      <c r="G2" s="91"/>
      <c r="H2" s="91"/>
      <c r="I2" s="91"/>
      <c r="J2" s="23"/>
    </row>
    <row r="3" spans="1:10" customFormat="1" ht="33.950000000000003" customHeight="1">
      <c r="B3" s="75"/>
      <c r="C3" s="75"/>
      <c r="D3" s="76"/>
      <c r="E3" s="76"/>
      <c r="F3" s="91"/>
      <c r="G3" s="91"/>
      <c r="H3" s="91"/>
      <c r="I3" s="91"/>
      <c r="J3" s="74"/>
    </row>
    <row r="4" spans="1:10" s="40" customFormat="1" ht="33.950000000000003" customHeight="1">
      <c r="B4" s="62" t="s">
        <v>17</v>
      </c>
      <c r="C4" s="66" t="s">
        <v>100</v>
      </c>
      <c r="D4" s="66" t="s">
        <v>101</v>
      </c>
    </row>
    <row r="5" spans="1:10" ht="30" customHeight="1">
      <c r="B5" s="68" t="s">
        <v>47</v>
      </c>
      <c r="C5" s="69">
        <v>1200</v>
      </c>
      <c r="D5" s="69">
        <f>Discretionary[[#This Row],[Annual  ]]/12</f>
        <v>100</v>
      </c>
    </row>
    <row r="6" spans="1:10" ht="30" customHeight="1">
      <c r="B6" s="68" t="s">
        <v>48</v>
      </c>
      <c r="C6" s="69">
        <v>600</v>
      </c>
      <c r="D6" s="69">
        <f>Discretionary[[#This Row],[Annual  ]]/12</f>
        <v>50</v>
      </c>
    </row>
    <row r="7" spans="1:10" ht="30" customHeight="1">
      <c r="B7" s="68" t="s">
        <v>49</v>
      </c>
      <c r="C7" s="69">
        <v>2250</v>
      </c>
      <c r="D7" s="69">
        <f>Discretionary[[#This Row],[Annual  ]]/12</f>
        <v>187.5</v>
      </c>
    </row>
    <row r="8" spans="1:10" ht="30" customHeight="1">
      <c r="B8" s="68" t="s">
        <v>50</v>
      </c>
      <c r="C8" s="69">
        <v>1200</v>
      </c>
      <c r="D8" s="69">
        <f>Discretionary[[#This Row],[Annual  ]]/12</f>
        <v>100</v>
      </c>
    </row>
    <row r="9" spans="1:10" ht="30" customHeight="1">
      <c r="B9" s="68" t="s">
        <v>51</v>
      </c>
      <c r="C9" s="69">
        <v>300</v>
      </c>
      <c r="D9" s="69">
        <f>Discretionary[[#This Row],[Annual  ]]/12</f>
        <v>25</v>
      </c>
    </row>
    <row r="10" spans="1:10" ht="30" customHeight="1">
      <c r="B10" s="68" t="s">
        <v>52</v>
      </c>
      <c r="C10" s="69">
        <v>2000</v>
      </c>
      <c r="D10" s="69">
        <f>Discretionary[[#This Row],[Annual  ]]/12</f>
        <v>166.66666666666666</v>
      </c>
    </row>
    <row r="11" spans="1:10" ht="30" customHeight="1">
      <c r="B11" s="68" t="s">
        <v>53</v>
      </c>
      <c r="C11" s="69">
        <v>600</v>
      </c>
      <c r="D11" s="69">
        <f>Discretionary[[#This Row],[Annual  ]]/12</f>
        <v>50</v>
      </c>
    </row>
    <row r="12" spans="1:10" ht="30" customHeight="1">
      <c r="B12" s="68" t="s">
        <v>54</v>
      </c>
      <c r="C12" s="69">
        <v>300</v>
      </c>
      <c r="D12" s="69">
        <f>Discretionary[[#This Row],[Annual  ]]/12</f>
        <v>25</v>
      </c>
    </row>
    <row r="13" spans="1:10" ht="30" customHeight="1">
      <c r="B13" s="68" t="s">
        <v>55</v>
      </c>
      <c r="C13" s="69">
        <v>4800</v>
      </c>
      <c r="D13" s="69">
        <f>Discretionary[[#This Row],[Annual  ]]/12</f>
        <v>400</v>
      </c>
    </row>
    <row r="14" spans="1:10" ht="30" customHeight="1">
      <c r="B14" s="68" t="s">
        <v>25</v>
      </c>
      <c r="C14" s="69">
        <v>0</v>
      </c>
      <c r="D14" s="69">
        <f>Discretionary[[#This Row],[Annual  ]]/12</f>
        <v>0</v>
      </c>
    </row>
    <row r="15" spans="1:10" ht="30" customHeight="1">
      <c r="B15" s="68" t="s">
        <v>26</v>
      </c>
      <c r="C15" s="69">
        <v>0</v>
      </c>
      <c r="D15" s="69">
        <f>Discretionary[[#This Row],[Annual  ]]/12</f>
        <v>0</v>
      </c>
    </row>
    <row r="16" spans="1:10" ht="30" customHeight="1">
      <c r="B16" s="68" t="s">
        <v>59</v>
      </c>
      <c r="C16" s="69">
        <f>SUBTOTAL(109,Discretionary[[Annual  ]])</f>
        <v>13250</v>
      </c>
      <c r="D16" s="69">
        <f>SUBTOTAL(109,Discretionary[[Monthly ]])</f>
        <v>1104.1666666666665</v>
      </c>
    </row>
  </sheetData>
  <mergeCells count="2">
    <mergeCell ref="D2:E2"/>
    <mergeCell ref="F2:I3"/>
  </mergeCells>
  <hyperlinks>
    <hyperlink ref="I1" location="Savings!A1" tooltip="Select to navigate to Savings worksheet" display="SAVINGS" xr:uid="{00000000-0004-0000-0600-000000000000}"/>
    <hyperlink ref="G1" location="Expenses!A1" tooltip="Select to navigate to Expenses worksheet" display="EXPENSES" xr:uid="{00000000-0004-0000-0600-000001000000}"/>
    <hyperlink ref="F1" location="Guide!A1" tooltip="Select to navigate to Guide worksheet" display="Navigation button for Guide worksheet is in this cell." xr:uid="{00000000-0004-0000-0600-000002000000}"/>
    <hyperlink ref="H1" location="Discretionary!A1" tooltip="Select to navigate to cell A1 in this worksheet" display="DISCRETIONARY" xr:uid="{00000000-0004-0000-0600-000003000000}"/>
  </hyperlinks>
  <printOptions horizontalCentered="1"/>
  <pageMargins left="0.25" right="0.25" top="0.5" bottom="0.5" header="0.3" footer="0.3"/>
  <pageSetup scale="84" fitToHeight="0" orientation="landscape" r:id="rId1"/>
  <headerFooter differentFirst="1">
    <oddFooter>Page &amp;P of &amp;N</oddFooter>
  </headerFooter>
  <ignoredErrors>
    <ignoredError sqref="D14:D15" emptyCellReference="1"/>
  </ignoredError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pageSetUpPr autoPageBreaks="0" fitToPage="1"/>
  </sheetPr>
  <dimension ref="A1:J10"/>
  <sheetViews>
    <sheetView showGridLines="0" zoomScaleNormal="100" workbookViewId="0"/>
  </sheetViews>
  <sheetFormatPr defaultColWidth="16.6640625" defaultRowHeight="30" customHeight="1"/>
  <cols>
    <col min="1" max="1" width="1.77734375" style="25" customWidth="1"/>
    <col min="2" max="2" width="20.77734375" style="25" customWidth="1"/>
    <col min="3" max="9" width="14.77734375" style="25" customWidth="1"/>
    <col min="10" max="10" width="1.77734375" style="25" customWidth="1"/>
    <col min="11" max="16384" width="16.6640625" style="25"/>
  </cols>
  <sheetData>
    <row r="1" spans="1:10" s="71" customFormat="1" ht="44.1" customHeight="1">
      <c r="A1" s="70"/>
      <c r="B1" s="16" t="s">
        <v>1</v>
      </c>
      <c r="C1" s="16"/>
      <c r="D1" s="16"/>
      <c r="E1" s="16"/>
      <c r="F1" s="16"/>
      <c r="G1" s="16"/>
      <c r="H1" s="16"/>
      <c r="I1" s="16"/>
      <c r="J1" s="71" t="s">
        <v>0</v>
      </c>
    </row>
    <row r="2" spans="1:10" s="3" customFormat="1" ht="44.1" customHeight="1">
      <c r="B2" s="85"/>
      <c r="C2" s="85" t="s">
        <v>74</v>
      </c>
      <c r="D2" s="101">
        <f>AnnualCashFlowToDate</f>
        <v>42250</v>
      </c>
      <c r="E2" s="101"/>
      <c r="F2" s="92" t="s">
        <v>102</v>
      </c>
      <c r="G2" s="92"/>
      <c r="H2" s="92"/>
      <c r="I2" s="92"/>
    </row>
    <row r="3" spans="1:10" customFormat="1" ht="33.950000000000003" customHeight="1">
      <c r="B3" s="32"/>
      <c r="C3" s="32"/>
      <c r="D3" s="76"/>
      <c r="E3" s="76"/>
      <c r="F3" s="91"/>
      <c r="G3" s="91"/>
      <c r="H3" s="91"/>
      <c r="I3" s="91"/>
    </row>
    <row r="4" spans="1:10" s="39" customFormat="1" ht="33.950000000000003" customHeight="1">
      <c r="B4" s="62" t="s">
        <v>19</v>
      </c>
      <c r="C4" s="66" t="s">
        <v>100</v>
      </c>
      <c r="D4" s="66" t="s">
        <v>101</v>
      </c>
    </row>
    <row r="5" spans="1:10" ht="30" customHeight="1">
      <c r="B5" s="68" t="s">
        <v>56</v>
      </c>
      <c r="C5" s="69">
        <v>5000</v>
      </c>
      <c r="D5" s="69">
        <f>Savings[[#This Row],[Annual  ]]/12</f>
        <v>416.66666666666669</v>
      </c>
    </row>
    <row r="6" spans="1:10" ht="30" customHeight="1">
      <c r="B6" s="68" t="s">
        <v>57</v>
      </c>
      <c r="C6" s="69">
        <v>12000</v>
      </c>
      <c r="D6" s="69">
        <f>Savings[[#This Row],[Annual  ]]/12</f>
        <v>1000</v>
      </c>
    </row>
    <row r="7" spans="1:10" ht="30" customHeight="1">
      <c r="B7" s="68" t="s">
        <v>104</v>
      </c>
      <c r="C7" s="69">
        <v>6000</v>
      </c>
      <c r="D7" s="69">
        <f>Savings[[#This Row],[Annual  ]]/12</f>
        <v>500</v>
      </c>
    </row>
    <row r="8" spans="1:10" ht="30" customHeight="1">
      <c r="B8" s="68" t="s">
        <v>25</v>
      </c>
      <c r="C8" s="69">
        <v>0</v>
      </c>
      <c r="D8" s="69">
        <f>Savings[[#This Row],[Annual  ]]/12</f>
        <v>0</v>
      </c>
    </row>
    <row r="9" spans="1:10" ht="30" customHeight="1">
      <c r="B9" s="68" t="s">
        <v>26</v>
      </c>
      <c r="C9" s="69">
        <v>0</v>
      </c>
      <c r="D9" s="69">
        <f>Savings[[#This Row],[Annual  ]]/12</f>
        <v>0</v>
      </c>
    </row>
    <row r="10" spans="1:10" ht="30" customHeight="1">
      <c r="B10" s="68" t="s">
        <v>59</v>
      </c>
      <c r="C10" s="69">
        <f>SUBTOTAL(109,Savings[[Annual  ]])</f>
        <v>23000</v>
      </c>
      <c r="D10" s="69">
        <f>SUBTOTAL(109,Savings[[Monthly ]])</f>
        <v>1916.6666666666667</v>
      </c>
    </row>
  </sheetData>
  <mergeCells count="2">
    <mergeCell ref="D2:E2"/>
    <mergeCell ref="F2:I3"/>
  </mergeCells>
  <hyperlinks>
    <hyperlink ref="G1" location="'Annual Cash Flow'!A1" tooltip="Select to navigate to Annual Cash Flow worksheet" display="Navigation button for Annual Cash Flow worksheet is in this cell." xr:uid="{00000000-0004-0000-0700-000000000000}"/>
    <hyperlink ref="G1" location="Discretionary!A1" tooltip="Select to navigate to Discretionary worksheet" display="DISCRETIONARY" xr:uid="{00000000-0004-0000-0700-000001000000}"/>
    <hyperlink ref="F1" location="Guide!A1" tooltip="Select to navigate to Guide worksheet" display="Navigation button for Guide worksheet is in this cell." xr:uid="{00000000-0004-0000-0700-000002000000}"/>
    <hyperlink ref="H1" location="Savings!A1" tooltip="Select to navigate to cell A1 in this worksheet" display="SAVINGS" xr:uid="{00000000-0004-0000-0700-000003000000}"/>
  </hyperlinks>
  <printOptions horizontalCentered="1"/>
  <pageMargins left="0.25" right="0.25" top="0.5" bottom="0.5" header="0.3" footer="0.3"/>
  <pageSetup scale="84" fitToHeight="0" orientation="landscape" r:id="rId1"/>
  <headerFooter differentFirst="1">
    <oddFooter>Page &amp;P of &amp;N</oddFooter>
  </headerFooter>
  <ignoredErrors>
    <ignoredError sqref="D8:D9"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B6CD0F-A255-4176-BF5D-778B5FDA8D4A}"/>
</file>

<file path=customXml/itemProps2.xml><?xml version="1.0" encoding="utf-8"?>
<ds:datastoreItem xmlns:ds="http://schemas.openxmlformats.org/officeDocument/2006/customXml" ds:itemID="{66918D99-7066-470A-83CC-36A418D2CA96}"/>
</file>

<file path=customXml/itemProps3.xml><?xml version="1.0" encoding="utf-8"?>
<ds:datastoreItem xmlns:ds="http://schemas.openxmlformats.org/officeDocument/2006/customXml" ds:itemID="{D42AA5AB-5793-47E3-A7BE-905DB25BDE8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TM03107654</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2023-01-31T06:46:20Z</dcterms:created>
  <dcterms:modified xsi:type="dcterms:W3CDTF">2026-03-04T19:06:15Z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