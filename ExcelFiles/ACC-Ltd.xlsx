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autoCompressPictures="0"/>
  <bookViews>
    <workbookView xWindow="480" yWindow="800" windowWidth="14780" windowHeight="7600"/>
  </bookViews>
  <sheets>
    <sheet name="Intro" sheetId="9" r:id="rId1"/>
    <sheet name="Revenue Model" sheetId="2" r:id="rId2"/>
    <sheet name="FAS" sheetId="3" state="hidden" r:id="rId3"/>
    <sheet name="Financial Statements" sheetId="5" r:id="rId4"/>
    <sheet name="Asset schedule" sheetId="4" r:id="rId5"/>
    <sheet name="Balance Sheet" sheetId="6" r:id="rId6"/>
    <sheet name="DCF" sheetId="7" r:id="rId7"/>
    <sheet name="Relative" sheetId="8" r:id="rId8"/>
    <sheet name="DuPoint Analysis" sheetId="1" r:id="rId9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1" i="7" l="1"/>
  <c r="B15" i="7"/>
  <c r="B22" i="7"/>
  <c r="E22" i="7"/>
  <c r="E21" i="7"/>
  <c r="D2" i="2"/>
  <c r="D2" i="5"/>
  <c r="D4" i="5"/>
  <c r="D5" i="5"/>
  <c r="D6" i="5"/>
  <c r="D7" i="5"/>
  <c r="D8" i="5"/>
  <c r="D9" i="5"/>
  <c r="D10" i="5"/>
  <c r="D11" i="5"/>
  <c r="D12" i="5"/>
  <c r="D14" i="5"/>
  <c r="D16" i="5"/>
  <c r="D17" i="5"/>
  <c r="B3" i="8"/>
  <c r="B14" i="8"/>
  <c r="F14" i="8"/>
  <c r="J14" i="8"/>
  <c r="N14" i="8"/>
  <c r="Q14" i="8"/>
  <c r="C29" i="8"/>
  <c r="B4" i="8"/>
  <c r="B15" i="8"/>
  <c r="F15" i="8"/>
  <c r="J15" i="8"/>
  <c r="N15" i="8"/>
  <c r="Q15" i="8"/>
  <c r="C30" i="8"/>
  <c r="D9" i="2"/>
  <c r="G9" i="2"/>
  <c r="E8" i="2"/>
  <c r="F8" i="2"/>
  <c r="G8" i="2"/>
  <c r="G5" i="2"/>
  <c r="D6" i="2"/>
  <c r="G6" i="2"/>
  <c r="G4" i="2"/>
  <c r="D11" i="2"/>
  <c r="E12" i="2"/>
  <c r="E11" i="2"/>
  <c r="F12" i="2"/>
  <c r="F11" i="2"/>
  <c r="G12" i="2"/>
  <c r="G11" i="2"/>
  <c r="G2" i="2"/>
  <c r="G2" i="5"/>
  <c r="E4" i="8"/>
  <c r="B13" i="8"/>
  <c r="B16" i="8"/>
  <c r="F13" i="8"/>
  <c r="F16" i="8"/>
  <c r="J13" i="8"/>
  <c r="J16" i="8"/>
  <c r="N13" i="8"/>
  <c r="N16" i="8"/>
  <c r="Q16" i="8"/>
  <c r="C31" i="8"/>
  <c r="E9" i="2"/>
  <c r="E5" i="2"/>
  <c r="E6" i="2"/>
  <c r="E4" i="2"/>
  <c r="E2" i="2"/>
  <c r="E2" i="5"/>
  <c r="D29" i="2"/>
  <c r="E29" i="2"/>
  <c r="E19" i="2"/>
  <c r="E4" i="5"/>
  <c r="D30" i="2"/>
  <c r="E30" i="2"/>
  <c r="E20" i="2"/>
  <c r="E5" i="5"/>
  <c r="D31" i="2"/>
  <c r="E31" i="2"/>
  <c r="E21" i="2"/>
  <c r="E6" i="5"/>
  <c r="D32" i="2"/>
  <c r="E32" i="2"/>
  <c r="E22" i="2"/>
  <c r="E7" i="5"/>
  <c r="D33" i="2"/>
  <c r="E33" i="2"/>
  <c r="E23" i="2"/>
  <c r="E8" i="5"/>
  <c r="E9" i="5"/>
  <c r="E10" i="5"/>
  <c r="E2" i="4"/>
  <c r="B7" i="4"/>
  <c r="E5" i="4"/>
  <c r="E10" i="4"/>
  <c r="B15" i="4"/>
  <c r="E13" i="4"/>
  <c r="E18" i="4"/>
  <c r="B23" i="4"/>
  <c r="E21" i="4"/>
  <c r="E26" i="4"/>
  <c r="B31" i="4"/>
  <c r="E29" i="4"/>
  <c r="E34" i="4"/>
  <c r="B39" i="4"/>
  <c r="E37" i="4"/>
  <c r="E42" i="4"/>
  <c r="B47" i="4"/>
  <c r="E45" i="4"/>
  <c r="E50" i="4"/>
  <c r="B55" i="4"/>
  <c r="E53" i="4"/>
  <c r="E58" i="4"/>
  <c r="B63" i="4"/>
  <c r="E61" i="4"/>
  <c r="E66" i="4"/>
  <c r="B71" i="4"/>
  <c r="E69" i="4"/>
  <c r="E74" i="4"/>
  <c r="B79" i="4"/>
  <c r="E77" i="4"/>
  <c r="E82" i="4"/>
  <c r="B87" i="4"/>
  <c r="E85" i="4"/>
  <c r="E11" i="5"/>
  <c r="E12" i="5"/>
  <c r="E13" i="5"/>
  <c r="E14" i="5"/>
  <c r="C2" i="2"/>
  <c r="C2" i="5"/>
  <c r="C4" i="5"/>
  <c r="C5" i="5"/>
  <c r="C6" i="5"/>
  <c r="C7" i="5"/>
  <c r="C8" i="5"/>
  <c r="C9" i="5"/>
  <c r="C10" i="5"/>
  <c r="C12" i="5"/>
  <c r="C14" i="5"/>
  <c r="C16" i="5"/>
  <c r="E16" i="5"/>
  <c r="E15" i="5"/>
  <c r="E17" i="5"/>
  <c r="C3" i="8"/>
  <c r="B18" i="8"/>
  <c r="F18" i="8"/>
  <c r="J18" i="8"/>
  <c r="N18" i="8"/>
  <c r="Q18" i="8"/>
  <c r="C32" i="8"/>
  <c r="C4" i="8"/>
  <c r="B19" i="8"/>
  <c r="F19" i="8"/>
  <c r="J19" i="8"/>
  <c r="N19" i="8"/>
  <c r="Q19" i="8"/>
  <c r="C33" i="8"/>
  <c r="B20" i="8"/>
  <c r="F20" i="8"/>
  <c r="J20" i="8"/>
  <c r="N20" i="8"/>
  <c r="Q20" i="8"/>
  <c r="C34" i="8"/>
  <c r="B7" i="8"/>
  <c r="B12" i="8"/>
  <c r="B5" i="8"/>
  <c r="B22" i="8"/>
  <c r="F6" i="8"/>
  <c r="F12" i="8"/>
  <c r="F22" i="8"/>
  <c r="J12" i="8"/>
  <c r="J22" i="8"/>
  <c r="N12" i="8"/>
  <c r="N22" i="8"/>
  <c r="Q22" i="8"/>
  <c r="B45" i="8"/>
  <c r="C45" i="8"/>
  <c r="D45" i="8"/>
  <c r="C35" i="8"/>
  <c r="B23" i="8"/>
  <c r="F23" i="8"/>
  <c r="J23" i="8"/>
  <c r="N23" i="8"/>
  <c r="Q23" i="8"/>
  <c r="B46" i="8"/>
  <c r="C46" i="8"/>
  <c r="D46" i="8"/>
  <c r="C36" i="8"/>
  <c r="C5" i="8"/>
  <c r="B24" i="8"/>
  <c r="F24" i="8"/>
  <c r="J24" i="8"/>
  <c r="N24" i="8"/>
  <c r="Q24" i="8"/>
  <c r="B47" i="8"/>
  <c r="C47" i="8"/>
  <c r="D47" i="8"/>
  <c r="C37" i="8"/>
  <c r="B25" i="8"/>
  <c r="F25" i="8"/>
  <c r="J25" i="8"/>
  <c r="N25" i="8"/>
  <c r="Q25" i="8"/>
  <c r="B48" i="8"/>
  <c r="C48" i="8"/>
  <c r="D48" i="8"/>
  <c r="C38" i="8"/>
  <c r="B2" i="7"/>
  <c r="B3" i="7"/>
  <c r="B4" i="7"/>
  <c r="B6" i="7"/>
  <c r="O5" i="4"/>
  <c r="O6" i="4"/>
  <c r="O7" i="4"/>
  <c r="O8" i="4"/>
  <c r="O9" i="4"/>
  <c r="O10" i="4"/>
  <c r="O11" i="4"/>
  <c r="O12" i="4"/>
  <c r="O13" i="4"/>
  <c r="O14" i="4"/>
  <c r="O15" i="4"/>
  <c r="O2" i="4"/>
  <c r="O3" i="4"/>
  <c r="P3" i="4"/>
  <c r="P2" i="4"/>
  <c r="B7" i="7"/>
  <c r="C57" i="6"/>
  <c r="D57" i="6"/>
  <c r="E57" i="6"/>
  <c r="E18" i="6"/>
  <c r="O18" i="5"/>
  <c r="C58" i="6"/>
  <c r="D58" i="6"/>
  <c r="E58" i="6"/>
  <c r="E21" i="6"/>
  <c r="O19" i="5"/>
  <c r="C59" i="6"/>
  <c r="D59" i="6"/>
  <c r="E59" i="6"/>
  <c r="E44" i="6"/>
  <c r="O20" i="5"/>
  <c r="B8" i="7"/>
  <c r="B9" i="7"/>
  <c r="B11" i="7"/>
  <c r="F9" i="2"/>
  <c r="F5" i="2"/>
  <c r="F6" i="2"/>
  <c r="F4" i="2"/>
  <c r="F2" i="2"/>
  <c r="F2" i="5"/>
  <c r="F29" i="2"/>
  <c r="F19" i="2"/>
  <c r="F4" i="5"/>
  <c r="F30" i="2"/>
  <c r="F20" i="2"/>
  <c r="F5" i="5"/>
  <c r="F31" i="2"/>
  <c r="F21" i="2"/>
  <c r="F6" i="5"/>
  <c r="F32" i="2"/>
  <c r="F22" i="2"/>
  <c r="F7" i="5"/>
  <c r="F33" i="2"/>
  <c r="F23" i="2"/>
  <c r="F8" i="5"/>
  <c r="F9" i="5"/>
  <c r="F10" i="5"/>
  <c r="O16" i="4"/>
  <c r="N5" i="4"/>
  <c r="P5" i="4"/>
  <c r="E3" i="4"/>
  <c r="E6" i="4"/>
  <c r="F2" i="4"/>
  <c r="F5" i="4"/>
  <c r="N6" i="4"/>
  <c r="P6" i="4"/>
  <c r="E11" i="4"/>
  <c r="E14" i="4"/>
  <c r="F10" i="4"/>
  <c r="F13" i="4"/>
  <c r="N7" i="4"/>
  <c r="P7" i="4"/>
  <c r="E19" i="4"/>
  <c r="E22" i="4"/>
  <c r="F18" i="4"/>
  <c r="F21" i="4"/>
  <c r="N8" i="4"/>
  <c r="P8" i="4"/>
  <c r="E27" i="4"/>
  <c r="E30" i="4"/>
  <c r="F26" i="4"/>
  <c r="F29" i="4"/>
  <c r="N9" i="4"/>
  <c r="P9" i="4"/>
  <c r="E35" i="4"/>
  <c r="E38" i="4"/>
  <c r="F34" i="4"/>
  <c r="F37" i="4"/>
  <c r="N10" i="4"/>
  <c r="P10" i="4"/>
  <c r="E43" i="4"/>
  <c r="E46" i="4"/>
  <c r="F42" i="4"/>
  <c r="F45" i="4"/>
  <c r="N11" i="4"/>
  <c r="P11" i="4"/>
  <c r="E51" i="4"/>
  <c r="E54" i="4"/>
  <c r="F50" i="4"/>
  <c r="F53" i="4"/>
  <c r="N12" i="4"/>
  <c r="P12" i="4"/>
  <c r="E59" i="4"/>
  <c r="E62" i="4"/>
  <c r="F58" i="4"/>
  <c r="F61" i="4"/>
  <c r="N13" i="4"/>
  <c r="P13" i="4"/>
  <c r="E67" i="4"/>
  <c r="E70" i="4"/>
  <c r="F66" i="4"/>
  <c r="F69" i="4"/>
  <c r="N14" i="4"/>
  <c r="P14" i="4"/>
  <c r="E75" i="4"/>
  <c r="E78" i="4"/>
  <c r="F74" i="4"/>
  <c r="F77" i="4"/>
  <c r="N15" i="4"/>
  <c r="P15" i="4"/>
  <c r="E83" i="4"/>
  <c r="E86" i="4"/>
  <c r="F82" i="4"/>
  <c r="F85" i="4"/>
  <c r="F11" i="5"/>
  <c r="F12" i="5"/>
  <c r="C2" i="7"/>
  <c r="F16" i="5"/>
  <c r="C3" i="7"/>
  <c r="C4" i="7"/>
  <c r="C6" i="7"/>
  <c r="Q3" i="4"/>
  <c r="Q2" i="4"/>
  <c r="C7" i="7"/>
  <c r="F57" i="6"/>
  <c r="F18" i="6"/>
  <c r="P18" i="5"/>
  <c r="F58" i="6"/>
  <c r="F21" i="6"/>
  <c r="P19" i="5"/>
  <c r="F59" i="6"/>
  <c r="F44" i="6"/>
  <c r="P20" i="5"/>
  <c r="C8" i="7"/>
  <c r="C9" i="7"/>
  <c r="C11" i="7"/>
  <c r="G29" i="2"/>
  <c r="G19" i="2"/>
  <c r="G4" i="5"/>
  <c r="G30" i="2"/>
  <c r="G20" i="2"/>
  <c r="G5" i="5"/>
  <c r="G31" i="2"/>
  <c r="G21" i="2"/>
  <c r="G6" i="5"/>
  <c r="G32" i="2"/>
  <c r="G22" i="2"/>
  <c r="G7" i="5"/>
  <c r="G33" i="2"/>
  <c r="G23" i="2"/>
  <c r="G8" i="5"/>
  <c r="G9" i="5"/>
  <c r="G10" i="5"/>
  <c r="Q5" i="4"/>
  <c r="F3" i="4"/>
  <c r="F6" i="4"/>
  <c r="G2" i="4"/>
  <c r="G5" i="4"/>
  <c r="Q6" i="4"/>
  <c r="F11" i="4"/>
  <c r="F14" i="4"/>
  <c r="G10" i="4"/>
  <c r="G13" i="4"/>
  <c r="Q7" i="4"/>
  <c r="F19" i="4"/>
  <c r="F22" i="4"/>
  <c r="G18" i="4"/>
  <c r="G21" i="4"/>
  <c r="Q8" i="4"/>
  <c r="F27" i="4"/>
  <c r="F30" i="4"/>
  <c r="G26" i="4"/>
  <c r="G29" i="4"/>
  <c r="Q9" i="4"/>
  <c r="F35" i="4"/>
  <c r="F38" i="4"/>
  <c r="G34" i="4"/>
  <c r="G37" i="4"/>
  <c r="Q10" i="4"/>
  <c r="F43" i="4"/>
  <c r="F46" i="4"/>
  <c r="G42" i="4"/>
  <c r="G45" i="4"/>
  <c r="Q11" i="4"/>
  <c r="F51" i="4"/>
  <c r="F54" i="4"/>
  <c r="G50" i="4"/>
  <c r="G53" i="4"/>
  <c r="Q12" i="4"/>
  <c r="F59" i="4"/>
  <c r="F62" i="4"/>
  <c r="G58" i="4"/>
  <c r="G61" i="4"/>
  <c r="Q13" i="4"/>
  <c r="F67" i="4"/>
  <c r="F70" i="4"/>
  <c r="G66" i="4"/>
  <c r="G69" i="4"/>
  <c r="Q14" i="4"/>
  <c r="F75" i="4"/>
  <c r="F78" i="4"/>
  <c r="G74" i="4"/>
  <c r="G77" i="4"/>
  <c r="Q15" i="4"/>
  <c r="F83" i="4"/>
  <c r="F86" i="4"/>
  <c r="G82" i="4"/>
  <c r="G85" i="4"/>
  <c r="G11" i="5"/>
  <c r="G12" i="5"/>
  <c r="D2" i="7"/>
  <c r="G16" i="5"/>
  <c r="D3" i="7"/>
  <c r="D4" i="7"/>
  <c r="D6" i="7"/>
  <c r="R3" i="4"/>
  <c r="R2" i="4"/>
  <c r="D7" i="7"/>
  <c r="G57" i="6"/>
  <c r="G18" i="6"/>
  <c r="Q18" i="5"/>
  <c r="G58" i="6"/>
  <c r="G21" i="6"/>
  <c r="Q19" i="5"/>
  <c r="G59" i="6"/>
  <c r="G44" i="6"/>
  <c r="Q20" i="5"/>
  <c r="D8" i="7"/>
  <c r="D9" i="7"/>
  <c r="D11" i="7"/>
  <c r="H9" i="2"/>
  <c r="H8" i="2"/>
  <c r="H5" i="2"/>
  <c r="H6" i="2"/>
  <c r="H4" i="2"/>
  <c r="H12" i="2"/>
  <c r="H11" i="2"/>
  <c r="H2" i="2"/>
  <c r="H2" i="5"/>
  <c r="H29" i="2"/>
  <c r="H19" i="2"/>
  <c r="H4" i="5"/>
  <c r="H30" i="2"/>
  <c r="H20" i="2"/>
  <c r="H5" i="5"/>
  <c r="H31" i="2"/>
  <c r="H21" i="2"/>
  <c r="H6" i="5"/>
  <c r="H32" i="2"/>
  <c r="H22" i="2"/>
  <c r="H7" i="5"/>
  <c r="H33" i="2"/>
  <c r="H23" i="2"/>
  <c r="H8" i="5"/>
  <c r="H9" i="5"/>
  <c r="H10" i="5"/>
  <c r="R5" i="4"/>
  <c r="G3" i="4"/>
  <c r="G6" i="4"/>
  <c r="H2" i="4"/>
  <c r="H5" i="4"/>
  <c r="R6" i="4"/>
  <c r="G11" i="4"/>
  <c r="G14" i="4"/>
  <c r="H10" i="4"/>
  <c r="H13" i="4"/>
  <c r="R7" i="4"/>
  <c r="G19" i="4"/>
  <c r="G22" i="4"/>
  <c r="H18" i="4"/>
  <c r="H21" i="4"/>
  <c r="R8" i="4"/>
  <c r="G27" i="4"/>
  <c r="G30" i="4"/>
  <c r="H26" i="4"/>
  <c r="H29" i="4"/>
  <c r="R9" i="4"/>
  <c r="G35" i="4"/>
  <c r="G38" i="4"/>
  <c r="H34" i="4"/>
  <c r="H37" i="4"/>
  <c r="R10" i="4"/>
  <c r="G43" i="4"/>
  <c r="G46" i="4"/>
  <c r="H42" i="4"/>
  <c r="H45" i="4"/>
  <c r="R11" i="4"/>
  <c r="G51" i="4"/>
  <c r="G54" i="4"/>
  <c r="H50" i="4"/>
  <c r="H53" i="4"/>
  <c r="R12" i="4"/>
  <c r="G59" i="4"/>
  <c r="G62" i="4"/>
  <c r="H58" i="4"/>
  <c r="H61" i="4"/>
  <c r="R13" i="4"/>
  <c r="G67" i="4"/>
  <c r="G70" i="4"/>
  <c r="H66" i="4"/>
  <c r="H69" i="4"/>
  <c r="R14" i="4"/>
  <c r="G75" i="4"/>
  <c r="G78" i="4"/>
  <c r="H74" i="4"/>
  <c r="H77" i="4"/>
  <c r="R15" i="4"/>
  <c r="G83" i="4"/>
  <c r="G86" i="4"/>
  <c r="H82" i="4"/>
  <c r="H85" i="4"/>
  <c r="H11" i="5"/>
  <c r="H12" i="5"/>
  <c r="E2" i="7"/>
  <c r="H16" i="5"/>
  <c r="E3" i="7"/>
  <c r="E4" i="7"/>
  <c r="E6" i="7"/>
  <c r="S3" i="4"/>
  <c r="S2" i="4"/>
  <c r="E7" i="7"/>
  <c r="H57" i="6"/>
  <c r="H18" i="6"/>
  <c r="R18" i="5"/>
  <c r="H58" i="6"/>
  <c r="H21" i="6"/>
  <c r="R19" i="5"/>
  <c r="H59" i="6"/>
  <c r="H44" i="6"/>
  <c r="R20" i="5"/>
  <c r="E8" i="7"/>
  <c r="E9" i="7"/>
  <c r="E11" i="7"/>
  <c r="I9" i="2"/>
  <c r="I8" i="2"/>
  <c r="I5" i="2"/>
  <c r="I6" i="2"/>
  <c r="I4" i="2"/>
  <c r="I12" i="2"/>
  <c r="I11" i="2"/>
  <c r="I2" i="2"/>
  <c r="I2" i="5"/>
  <c r="I29" i="2"/>
  <c r="I19" i="2"/>
  <c r="I4" i="5"/>
  <c r="I30" i="2"/>
  <c r="I20" i="2"/>
  <c r="I5" i="5"/>
  <c r="I31" i="2"/>
  <c r="I21" i="2"/>
  <c r="I6" i="5"/>
  <c r="I32" i="2"/>
  <c r="I22" i="2"/>
  <c r="I7" i="5"/>
  <c r="I33" i="2"/>
  <c r="I23" i="2"/>
  <c r="I8" i="5"/>
  <c r="I9" i="5"/>
  <c r="I10" i="5"/>
  <c r="S5" i="4"/>
  <c r="H3" i="4"/>
  <c r="H6" i="4"/>
  <c r="I2" i="4"/>
  <c r="I5" i="4"/>
  <c r="S6" i="4"/>
  <c r="H11" i="4"/>
  <c r="H14" i="4"/>
  <c r="I10" i="4"/>
  <c r="I13" i="4"/>
  <c r="S7" i="4"/>
  <c r="H19" i="4"/>
  <c r="H22" i="4"/>
  <c r="I18" i="4"/>
  <c r="I21" i="4"/>
  <c r="S8" i="4"/>
  <c r="H27" i="4"/>
  <c r="H30" i="4"/>
  <c r="I26" i="4"/>
  <c r="I29" i="4"/>
  <c r="S9" i="4"/>
  <c r="H35" i="4"/>
  <c r="H38" i="4"/>
  <c r="I34" i="4"/>
  <c r="I37" i="4"/>
  <c r="S10" i="4"/>
  <c r="H43" i="4"/>
  <c r="H46" i="4"/>
  <c r="I42" i="4"/>
  <c r="I45" i="4"/>
  <c r="S11" i="4"/>
  <c r="H51" i="4"/>
  <c r="H54" i="4"/>
  <c r="I50" i="4"/>
  <c r="I53" i="4"/>
  <c r="S12" i="4"/>
  <c r="H59" i="4"/>
  <c r="H62" i="4"/>
  <c r="I58" i="4"/>
  <c r="I61" i="4"/>
  <c r="S13" i="4"/>
  <c r="H67" i="4"/>
  <c r="H70" i="4"/>
  <c r="I66" i="4"/>
  <c r="I69" i="4"/>
  <c r="S14" i="4"/>
  <c r="H75" i="4"/>
  <c r="H78" i="4"/>
  <c r="I74" i="4"/>
  <c r="I77" i="4"/>
  <c r="S15" i="4"/>
  <c r="H83" i="4"/>
  <c r="H86" i="4"/>
  <c r="I82" i="4"/>
  <c r="I85" i="4"/>
  <c r="I11" i="5"/>
  <c r="I12" i="5"/>
  <c r="F2" i="7"/>
  <c r="I16" i="5"/>
  <c r="F3" i="7"/>
  <c r="F4" i="7"/>
  <c r="F6" i="7"/>
  <c r="T3" i="4"/>
  <c r="T2" i="4"/>
  <c r="F7" i="7"/>
  <c r="I57" i="6"/>
  <c r="I18" i="6"/>
  <c r="S18" i="5"/>
  <c r="I58" i="6"/>
  <c r="I21" i="6"/>
  <c r="S19" i="5"/>
  <c r="I59" i="6"/>
  <c r="I44" i="6"/>
  <c r="S20" i="5"/>
  <c r="F8" i="7"/>
  <c r="F9" i="7"/>
  <c r="F10" i="7"/>
  <c r="F11" i="7"/>
  <c r="H23" i="7"/>
  <c r="H24" i="7"/>
  <c r="H25" i="7"/>
  <c r="H27" i="7"/>
  <c r="C40" i="8"/>
  <c r="J32" i="8"/>
  <c r="B29" i="8"/>
  <c r="B30" i="8"/>
  <c r="B31" i="8"/>
  <c r="B32" i="8"/>
  <c r="B33" i="8"/>
  <c r="B34" i="8"/>
  <c r="B35" i="8"/>
  <c r="B36" i="8"/>
  <c r="B37" i="8"/>
  <c r="B38" i="8"/>
  <c r="B40" i="8"/>
  <c r="I32" i="8"/>
  <c r="Q13" i="8"/>
  <c r="Q12" i="8"/>
  <c r="P25" i="8"/>
  <c r="P24" i="8"/>
  <c r="P23" i="8"/>
  <c r="P22" i="8"/>
  <c r="P20" i="8"/>
  <c r="P19" i="8"/>
  <c r="P18" i="8"/>
  <c r="P16" i="8"/>
  <c r="P15" i="8"/>
  <c r="P14" i="8"/>
  <c r="P13" i="8"/>
  <c r="P12" i="8"/>
  <c r="F13" i="5"/>
  <c r="G13" i="5"/>
  <c r="G14" i="5"/>
  <c r="G15" i="5"/>
  <c r="G17" i="5"/>
  <c r="E3" i="8"/>
  <c r="F14" i="5"/>
  <c r="F15" i="5"/>
  <c r="F17" i="5"/>
  <c r="D3" i="8"/>
  <c r="E5" i="8"/>
  <c r="D5" i="8"/>
  <c r="D4" i="8"/>
  <c r="I34" i="7"/>
  <c r="I35" i="7"/>
  <c r="I36" i="7"/>
  <c r="I37" i="7"/>
  <c r="I38" i="7"/>
  <c r="D36" i="6"/>
  <c r="C36" i="6"/>
  <c r="I41" i="6"/>
  <c r="H41" i="6"/>
  <c r="G41" i="6"/>
  <c r="F41" i="6"/>
  <c r="E41" i="6"/>
  <c r="E6" i="6"/>
  <c r="F6" i="6"/>
  <c r="G6" i="6"/>
  <c r="H6" i="6"/>
  <c r="I6" i="6"/>
  <c r="E5" i="6"/>
  <c r="F5" i="6"/>
  <c r="G5" i="6"/>
  <c r="H5" i="6"/>
  <c r="I5" i="6"/>
  <c r="E33" i="6"/>
  <c r="D49" i="6"/>
  <c r="C49" i="6"/>
  <c r="D41" i="6"/>
  <c r="C41" i="6"/>
  <c r="D27" i="6"/>
  <c r="D29" i="6"/>
  <c r="C27" i="6"/>
  <c r="C29" i="6"/>
  <c r="D16" i="6"/>
  <c r="C16" i="6"/>
  <c r="N8" i="5"/>
  <c r="N6" i="5"/>
  <c r="N34" i="5"/>
  <c r="O32" i="5"/>
  <c r="O17" i="5"/>
  <c r="P17" i="5"/>
  <c r="Q17" i="5"/>
  <c r="H13" i="5"/>
  <c r="R17" i="5"/>
  <c r="I13" i="5"/>
  <c r="S17" i="5"/>
  <c r="S29" i="5"/>
  <c r="R29" i="5"/>
  <c r="Q29" i="5"/>
  <c r="P29" i="5"/>
  <c r="O29" i="5"/>
  <c r="N9" i="5"/>
  <c r="N10" i="5"/>
  <c r="N11" i="5"/>
  <c r="C30" i="6"/>
  <c r="C50" i="6"/>
  <c r="C51" i="6"/>
  <c r="D30" i="6"/>
  <c r="D50" i="6"/>
  <c r="D51" i="6"/>
  <c r="F33" i="6"/>
  <c r="G33" i="6"/>
  <c r="H33" i="6"/>
  <c r="I33" i="6"/>
  <c r="B8" i="5"/>
  <c r="B7" i="5"/>
  <c r="B6" i="5"/>
  <c r="B5" i="5"/>
  <c r="B4" i="5"/>
  <c r="B9" i="5"/>
  <c r="A9" i="5"/>
  <c r="A8" i="5"/>
  <c r="A7" i="5"/>
  <c r="A6" i="5"/>
  <c r="A5" i="5"/>
  <c r="A4" i="5"/>
  <c r="C17" i="5"/>
  <c r="B2" i="2"/>
  <c r="B2" i="5"/>
  <c r="B10" i="5"/>
  <c r="B12" i="5"/>
  <c r="B14" i="5"/>
  <c r="B17" i="5"/>
  <c r="C41" i="2"/>
  <c r="D41" i="2"/>
  <c r="D24" i="2"/>
  <c r="C24" i="2"/>
  <c r="D40" i="2"/>
  <c r="C40" i="2"/>
  <c r="E38" i="2"/>
  <c r="D38" i="2"/>
  <c r="C38" i="2"/>
  <c r="D36" i="2"/>
  <c r="C36" i="2"/>
  <c r="B24" i="2"/>
  <c r="C9" i="2"/>
  <c r="B9" i="2"/>
  <c r="C6" i="2"/>
  <c r="B6" i="2"/>
  <c r="C33" i="2"/>
  <c r="J16" i="1"/>
  <c r="I16" i="1"/>
  <c r="H16" i="1"/>
  <c r="G16" i="1"/>
  <c r="F16" i="1"/>
  <c r="E16" i="1"/>
  <c r="D16" i="1"/>
  <c r="M16" i="1"/>
  <c r="C16" i="1"/>
  <c r="L16" i="1"/>
  <c r="B16" i="1"/>
  <c r="K16" i="1"/>
  <c r="J15" i="1"/>
  <c r="I15" i="1"/>
  <c r="H15" i="1"/>
  <c r="G15" i="1"/>
  <c r="F15" i="1"/>
  <c r="E15" i="1"/>
  <c r="D15" i="1"/>
  <c r="M15" i="1"/>
  <c r="C15" i="1"/>
  <c r="L15" i="1"/>
  <c r="B15" i="1"/>
  <c r="K15" i="1"/>
  <c r="J14" i="1"/>
  <c r="I14" i="1"/>
  <c r="H14" i="1"/>
  <c r="G14" i="1"/>
  <c r="F14" i="1"/>
  <c r="E14" i="1"/>
  <c r="D14" i="1"/>
  <c r="M14" i="1"/>
  <c r="C14" i="1"/>
  <c r="L14" i="1"/>
  <c r="B14" i="1"/>
  <c r="K14" i="1"/>
  <c r="B20" i="5"/>
  <c r="B21" i="5"/>
  <c r="C21" i="5"/>
  <c r="C20" i="5"/>
  <c r="B16" i="5"/>
  <c r="C26" i="2"/>
  <c r="C27" i="2"/>
  <c r="B26" i="2"/>
  <c r="B27" i="2"/>
  <c r="D26" i="2"/>
  <c r="D27" i="2"/>
  <c r="B11" i="2"/>
  <c r="B15" i="2"/>
  <c r="B16" i="2"/>
  <c r="C29" i="2"/>
  <c r="C30" i="2"/>
  <c r="C31" i="2"/>
  <c r="B32" i="2"/>
  <c r="B33" i="2"/>
  <c r="C11" i="2"/>
  <c r="B29" i="2"/>
  <c r="B30" i="2"/>
  <c r="B31" i="2"/>
  <c r="C32" i="2"/>
  <c r="C15" i="2"/>
  <c r="C16" i="2"/>
  <c r="C12" i="2"/>
  <c r="D12" i="2"/>
  <c r="D15" i="2"/>
  <c r="D16" i="2"/>
  <c r="D20" i="5"/>
  <c r="D21" i="5"/>
  <c r="E21" i="5"/>
  <c r="F21" i="5"/>
  <c r="G21" i="5"/>
  <c r="H21" i="5"/>
  <c r="I21" i="5"/>
  <c r="O16" i="5"/>
  <c r="E15" i="2"/>
  <c r="E16" i="2"/>
  <c r="O23" i="5"/>
  <c r="O24" i="5"/>
  <c r="E24" i="2"/>
  <c r="E26" i="2"/>
  <c r="E27" i="2"/>
  <c r="F15" i="2"/>
  <c r="F16" i="2"/>
  <c r="E19" i="5"/>
  <c r="O28" i="5"/>
  <c r="O30" i="5"/>
  <c r="E49" i="6"/>
  <c r="E50" i="6"/>
  <c r="P16" i="4"/>
  <c r="O15" i="5"/>
  <c r="G15" i="2"/>
  <c r="G16" i="2"/>
  <c r="E20" i="5"/>
  <c r="E34" i="6"/>
  <c r="E36" i="6"/>
  <c r="E51" i="6"/>
  <c r="O4" i="5"/>
  <c r="O6" i="5"/>
  <c r="P23" i="5"/>
  <c r="P24" i="5"/>
  <c r="E4" i="6"/>
  <c r="E16" i="6"/>
  <c r="O8" i="5"/>
  <c r="O21" i="5"/>
  <c r="O33" i="5"/>
  <c r="O34" i="5"/>
  <c r="F24" i="2"/>
  <c r="F26" i="2"/>
  <c r="F27" i="2"/>
  <c r="H15" i="2"/>
  <c r="H16" i="2"/>
  <c r="P16" i="5"/>
  <c r="F49" i="6"/>
  <c r="F50" i="6"/>
  <c r="Q23" i="5"/>
  <c r="Q24" i="5"/>
  <c r="E22" i="6"/>
  <c r="E27" i="6"/>
  <c r="E29" i="6"/>
  <c r="E30" i="6"/>
  <c r="E53" i="6"/>
  <c r="P32" i="5"/>
  <c r="O9" i="5"/>
  <c r="Q16" i="4"/>
  <c r="O10" i="5"/>
  <c r="O11" i="5"/>
  <c r="G24" i="2"/>
  <c r="G26" i="2"/>
  <c r="G27" i="2"/>
  <c r="I15" i="2"/>
  <c r="I16" i="2"/>
  <c r="P8" i="5"/>
  <c r="F4" i="6"/>
  <c r="F16" i="6"/>
  <c r="R23" i="5"/>
  <c r="R24" i="5"/>
  <c r="R16" i="4"/>
  <c r="G49" i="6"/>
  <c r="G50" i="6"/>
  <c r="P15" i="5"/>
  <c r="P21" i="5"/>
  <c r="F19" i="5"/>
  <c r="P28" i="5"/>
  <c r="P30" i="5"/>
  <c r="H24" i="2"/>
  <c r="H26" i="2"/>
  <c r="H27" i="2"/>
  <c r="S16" i="4"/>
  <c r="H49" i="6"/>
  <c r="H50" i="6"/>
  <c r="S23" i="5"/>
  <c r="S24" i="5"/>
  <c r="T14" i="4"/>
  <c r="I75" i="4"/>
  <c r="I78" i="4"/>
  <c r="T12" i="4"/>
  <c r="I59" i="4"/>
  <c r="T5" i="4"/>
  <c r="T9" i="4"/>
  <c r="I35" i="4"/>
  <c r="T10" i="4"/>
  <c r="I43" i="4"/>
  <c r="I46" i="4"/>
  <c r="T11" i="4"/>
  <c r="I51" i="4"/>
  <c r="I54" i="4"/>
  <c r="T13" i="4"/>
  <c r="I67" i="4"/>
  <c r="I70" i="4"/>
  <c r="T15" i="4"/>
  <c r="I83" i="4"/>
  <c r="I86" i="4"/>
  <c r="T8" i="4"/>
  <c r="I27" i="4"/>
  <c r="I30" i="4"/>
  <c r="T6" i="4"/>
  <c r="I11" i="4"/>
  <c r="I14" i="4"/>
  <c r="T7" i="4"/>
  <c r="I19" i="4"/>
  <c r="I22" i="4"/>
  <c r="I62" i="4"/>
  <c r="I38" i="4"/>
  <c r="F20" i="5"/>
  <c r="P33" i="5"/>
  <c r="P34" i="5"/>
  <c r="I24" i="2"/>
  <c r="I26" i="2"/>
  <c r="I27" i="2"/>
  <c r="Q16" i="5"/>
  <c r="I49" i="6"/>
  <c r="I50" i="6"/>
  <c r="I3" i="4"/>
  <c r="T16" i="4"/>
  <c r="G4" i="6"/>
  <c r="G16" i="6"/>
  <c r="Q8" i="5"/>
  <c r="Q32" i="5"/>
  <c r="F22" i="6"/>
  <c r="F27" i="6"/>
  <c r="F29" i="6"/>
  <c r="F30" i="6"/>
  <c r="P9" i="5"/>
  <c r="P10" i="5"/>
  <c r="P4" i="5"/>
  <c r="P6" i="5"/>
  <c r="F34" i="6"/>
  <c r="P11" i="5"/>
  <c r="F36" i="6"/>
  <c r="F51" i="6"/>
  <c r="F53" i="6"/>
  <c r="R16" i="5"/>
  <c r="R8" i="5"/>
  <c r="H4" i="6"/>
  <c r="H16" i="6"/>
  <c r="Q15" i="5"/>
  <c r="Q21" i="5"/>
  <c r="G19" i="5"/>
  <c r="Q28" i="5"/>
  <c r="Q30" i="5"/>
  <c r="Q33" i="5"/>
  <c r="Q34" i="5"/>
  <c r="I6" i="4"/>
  <c r="H14" i="5"/>
  <c r="G20" i="5"/>
  <c r="G22" i="6"/>
  <c r="G27" i="6"/>
  <c r="G29" i="6"/>
  <c r="G30" i="6"/>
  <c r="R32" i="5"/>
  <c r="Q9" i="5"/>
  <c r="Q10" i="5"/>
  <c r="H15" i="5"/>
  <c r="H17" i="5"/>
  <c r="I4" i="6"/>
  <c r="I16" i="6"/>
  <c r="S8" i="5"/>
  <c r="Q4" i="5"/>
  <c r="G34" i="6"/>
  <c r="S16" i="5"/>
  <c r="H19" i="5"/>
  <c r="R28" i="5"/>
  <c r="R30" i="5"/>
  <c r="R15" i="5"/>
  <c r="R21" i="5"/>
  <c r="H20" i="5"/>
  <c r="H34" i="6"/>
  <c r="I14" i="5"/>
  <c r="I15" i="5"/>
  <c r="I17" i="5"/>
  <c r="Q6" i="5"/>
  <c r="Q11" i="5"/>
  <c r="R4" i="5"/>
  <c r="G36" i="6"/>
  <c r="G51" i="6"/>
  <c r="G53" i="6"/>
  <c r="H36" i="6"/>
  <c r="H51" i="6"/>
  <c r="R6" i="5"/>
  <c r="S15" i="5"/>
  <c r="S21" i="5"/>
  <c r="I19" i="5"/>
  <c r="S28" i="5"/>
  <c r="S30" i="5"/>
  <c r="R33" i="5"/>
  <c r="R34" i="5"/>
  <c r="H22" i="6"/>
  <c r="H27" i="6"/>
  <c r="H29" i="6"/>
  <c r="H30" i="6"/>
  <c r="H53" i="6"/>
  <c r="S32" i="5"/>
  <c r="R9" i="5"/>
  <c r="R10" i="5"/>
  <c r="R11" i="5"/>
  <c r="I32" i="7"/>
  <c r="I20" i="5"/>
  <c r="S33" i="5"/>
  <c r="I34" i="6"/>
  <c r="I36" i="6"/>
  <c r="I51" i="6"/>
  <c r="S4" i="5"/>
  <c r="S6" i="5"/>
  <c r="S34" i="5"/>
  <c r="I22" i="6"/>
  <c r="I27" i="6"/>
  <c r="I29" i="6"/>
  <c r="I30" i="6"/>
  <c r="S9" i="5"/>
  <c r="S10" i="5"/>
  <c r="S11" i="5"/>
  <c r="I53" i="6"/>
</calcChain>
</file>

<file path=xl/sharedStrings.xml><?xml version="1.0" encoding="utf-8"?>
<sst xmlns="http://schemas.openxmlformats.org/spreadsheetml/2006/main" count="468" uniqueCount="227">
  <si>
    <t>ROE=NPM*ATR*FL</t>
  </si>
  <si>
    <t>NPM-Net Profit Margin</t>
  </si>
  <si>
    <t>ATR-Asset Turnover Ratio</t>
  </si>
  <si>
    <t>FL-Financial Leverage</t>
  </si>
  <si>
    <t>Cement Industry</t>
  </si>
  <si>
    <t>Net Profit</t>
  </si>
  <si>
    <t>Sales</t>
  </si>
  <si>
    <t>Equity</t>
  </si>
  <si>
    <t>Ultratech</t>
  </si>
  <si>
    <t xml:space="preserve">Ambuja </t>
  </si>
  <si>
    <t>ACC</t>
  </si>
  <si>
    <t>Net profit Margin</t>
  </si>
  <si>
    <t>Sales/Assets</t>
  </si>
  <si>
    <t>Assets/Equity</t>
  </si>
  <si>
    <t>ROE</t>
  </si>
  <si>
    <t>2018 F</t>
  </si>
  <si>
    <t>2019 F</t>
  </si>
  <si>
    <t>2020 F</t>
  </si>
  <si>
    <t>2021 F</t>
  </si>
  <si>
    <t>2022 F</t>
  </si>
  <si>
    <t>Cement Sales - Value in cr</t>
  </si>
  <si>
    <t>Sales as % of prodn</t>
  </si>
  <si>
    <t>Capacity utilisation</t>
  </si>
  <si>
    <t>Average price per kg</t>
  </si>
  <si>
    <t>Cement Sales - Volume Million Tonnes</t>
  </si>
  <si>
    <t>Cement Production Million Tonnes</t>
  </si>
  <si>
    <t>Capacity Million Tonnes</t>
  </si>
  <si>
    <t>Average price in crores per Million Tonnes</t>
  </si>
  <si>
    <t>Assuming this to be same over the period</t>
  </si>
  <si>
    <t>Assuming the utilisation to reach 90% as per various media reports</t>
  </si>
  <si>
    <t>Assuming the capacity to remain same</t>
  </si>
  <si>
    <t xml:space="preserve">Assuming the price to increase by 5% every year </t>
  </si>
  <si>
    <t>Average price per tonne</t>
  </si>
  <si>
    <t>ACC Ltd</t>
  </si>
  <si>
    <t>Assets (non current)</t>
  </si>
  <si>
    <t>Raw Materials</t>
  </si>
  <si>
    <t>Salaries</t>
  </si>
  <si>
    <t>Power</t>
  </si>
  <si>
    <t>Transport</t>
  </si>
  <si>
    <t>Other exps</t>
  </si>
  <si>
    <t>Raw Materials as % of sales</t>
  </si>
  <si>
    <t>Power as % of sales</t>
  </si>
  <si>
    <t>Transport as % of sales</t>
  </si>
  <si>
    <t>Salaries as % of sales</t>
  </si>
  <si>
    <t>Other exps as % of sales</t>
  </si>
  <si>
    <t>Average Diesel prices</t>
  </si>
  <si>
    <t>Growth</t>
  </si>
  <si>
    <t>Crude</t>
  </si>
  <si>
    <t>INR USD</t>
  </si>
  <si>
    <t>Total expenses</t>
  </si>
  <si>
    <t>EBITDA</t>
  </si>
  <si>
    <t>Margin</t>
  </si>
  <si>
    <t>Freehold Non Mining Land</t>
  </si>
  <si>
    <t>Freehold Mining Land</t>
  </si>
  <si>
    <t>Leasehold Land</t>
  </si>
  <si>
    <t>Buildings</t>
  </si>
  <si>
    <t>Plant and Equipment</t>
  </si>
  <si>
    <t>Railway Sidings</t>
  </si>
  <si>
    <t>Furniture and Fixtures</t>
  </si>
  <si>
    <t>Vehicles</t>
  </si>
  <si>
    <t>Office equipment</t>
  </si>
  <si>
    <t>Computer Software</t>
  </si>
  <si>
    <t>Mining Rights</t>
  </si>
  <si>
    <t>-</t>
  </si>
  <si>
    <t>Opening balance</t>
  </si>
  <si>
    <t>Add: purchase during the year</t>
  </si>
  <si>
    <t>Less: Sale during the year</t>
  </si>
  <si>
    <t>Less: Dep</t>
  </si>
  <si>
    <t>Closing balance</t>
  </si>
  <si>
    <t>Plants &amp; Eq</t>
  </si>
  <si>
    <t>Railway sidings</t>
  </si>
  <si>
    <t>Office Eq</t>
  </si>
  <si>
    <t>Software</t>
  </si>
  <si>
    <t>Mining rights</t>
  </si>
  <si>
    <t>Furniture</t>
  </si>
  <si>
    <t>Depreciation rate</t>
  </si>
  <si>
    <t>Revenue</t>
  </si>
  <si>
    <t>Expenses</t>
  </si>
  <si>
    <t>D&amp;A</t>
  </si>
  <si>
    <t>EBIT</t>
  </si>
  <si>
    <t>Capex</t>
  </si>
  <si>
    <t>Capex as % of revenue</t>
  </si>
  <si>
    <t>a) Property, Plant and Equipment</t>
  </si>
  <si>
    <t>b) Capital work-in-progress</t>
  </si>
  <si>
    <t>c) Goodwill on consolidation</t>
  </si>
  <si>
    <t>d) Other Intangible assets</t>
  </si>
  <si>
    <t>e) Intangible assets under development</t>
  </si>
  <si>
    <t>f ) Investments in associates and joint ventures</t>
  </si>
  <si>
    <t>g) Financial Assets</t>
  </si>
  <si>
    <t>(i) Investments</t>
  </si>
  <si>
    <t>(ii) Loans</t>
  </si>
  <si>
    <t>(iii) Other financial assets</t>
  </si>
  <si>
    <t>h) Non-current Tax Assets (Net)</t>
  </si>
  <si>
    <t>i) Other non-current assets</t>
  </si>
  <si>
    <t>Total Non-current assets</t>
  </si>
  <si>
    <t>Current assets</t>
  </si>
  <si>
    <t>a) Inventories</t>
  </si>
  <si>
    <t>b) Financial assets</t>
  </si>
  <si>
    <t>(ii) Trade receivables</t>
  </si>
  <si>
    <t>(iii) Cash and Cash Equivalents</t>
  </si>
  <si>
    <t>(v) Loans</t>
  </si>
  <si>
    <t>(vi) Other financial assets</t>
  </si>
  <si>
    <t>c) Other current assets</t>
  </si>
  <si>
    <t>Total Current assets</t>
  </si>
  <si>
    <t>TOTAL - ASSETS</t>
  </si>
  <si>
    <t>EQUITY AND LIABILITIES</t>
  </si>
  <si>
    <t>Equity Share Capital</t>
  </si>
  <si>
    <t>Other Equity</t>
  </si>
  <si>
    <t>controlling interest</t>
  </si>
  <si>
    <t>Total Equity</t>
  </si>
  <si>
    <t>Liabilities</t>
  </si>
  <si>
    <t>Non-current liabilities</t>
  </si>
  <si>
    <t>Provisions</t>
  </si>
  <si>
    <t>Deferred tax liabilities (Net)</t>
  </si>
  <si>
    <t>Total Non-current liabilities</t>
  </si>
  <si>
    <t>Current liabilities</t>
  </si>
  <si>
    <t>Financial Liabilities</t>
  </si>
  <si>
    <t>(i) Trade payables</t>
  </si>
  <si>
    <t>(ii) Other financial liabilities</t>
  </si>
  <si>
    <t>Other current liabilities</t>
  </si>
  <si>
    <t>Current tax liabilities (Net)</t>
  </si>
  <si>
    <t>Total Current liabilities</t>
  </si>
  <si>
    <t>Total liabilities</t>
  </si>
  <si>
    <t>TOTAL-EQUITY AND LIABILITIES</t>
  </si>
  <si>
    <t>A. ASSETS</t>
  </si>
  <si>
    <t>1) Non-current assets</t>
  </si>
  <si>
    <t>(iv) Bank balances other than Cash Equivalents</t>
  </si>
  <si>
    <t>Interest</t>
  </si>
  <si>
    <t>d) Non-current assets classified as held for sale</t>
  </si>
  <si>
    <t>PBT</t>
  </si>
  <si>
    <t>Taxes</t>
  </si>
  <si>
    <t>Tax rate</t>
  </si>
  <si>
    <t>PAT</t>
  </si>
  <si>
    <t>Sources of Funds</t>
  </si>
  <si>
    <t>Reserves &amp; Surplus</t>
  </si>
  <si>
    <t>Debt</t>
  </si>
  <si>
    <t>Uses of Funds</t>
  </si>
  <si>
    <t>Fixed Assets</t>
  </si>
  <si>
    <t>Cash</t>
  </si>
  <si>
    <t>Dividend</t>
  </si>
  <si>
    <t>PAT transferred to BS</t>
  </si>
  <si>
    <t>Dividend payout ratio</t>
  </si>
  <si>
    <t>Cash flow from Operation</t>
  </si>
  <si>
    <t>Cash flow from investing</t>
  </si>
  <si>
    <t>Depreciation</t>
  </si>
  <si>
    <t>Fixed Asset</t>
  </si>
  <si>
    <t>Cash flow from Financing</t>
  </si>
  <si>
    <t xml:space="preserve">Interest </t>
  </si>
  <si>
    <t>Opening bal</t>
  </si>
  <si>
    <t>Cash in</t>
  </si>
  <si>
    <t>Closing bal</t>
  </si>
  <si>
    <t>Inventory as % of raw material</t>
  </si>
  <si>
    <t>Trade receivables as % of Sales</t>
  </si>
  <si>
    <t>Trade payables as % of raw material</t>
  </si>
  <si>
    <t>Change in inventory</t>
  </si>
  <si>
    <t>Change in receivables</t>
  </si>
  <si>
    <t>Change in payables</t>
  </si>
  <si>
    <t>Less: Tax on EBIT</t>
  </si>
  <si>
    <t>Debt free earning</t>
  </si>
  <si>
    <t>Add: Dep &amp; Ammo</t>
  </si>
  <si>
    <t>Less: Capex</t>
  </si>
  <si>
    <t>Add/Less: Change in WC</t>
  </si>
  <si>
    <t>FCFF</t>
  </si>
  <si>
    <t>Cost of Debt</t>
  </si>
  <si>
    <t>Cost of Equity</t>
  </si>
  <si>
    <t>Rf+B(Rm-Rf)</t>
  </si>
  <si>
    <t>CAPM=</t>
  </si>
  <si>
    <t>Rf</t>
  </si>
  <si>
    <t>B</t>
  </si>
  <si>
    <t>Rm</t>
  </si>
  <si>
    <t>B=</t>
  </si>
  <si>
    <t>Covar(Rm,Re)/Var Rm</t>
  </si>
  <si>
    <t>10 year govt bond</t>
  </si>
  <si>
    <t>CAGR of market return of 8 years</t>
  </si>
  <si>
    <t>CMP</t>
  </si>
  <si>
    <t>Shares outstanding</t>
  </si>
  <si>
    <t>Wd</t>
  </si>
  <si>
    <t>We</t>
  </si>
  <si>
    <t>WACC</t>
  </si>
  <si>
    <t>G (India's long term GDP growth)</t>
  </si>
  <si>
    <t>Terminal value</t>
  </si>
  <si>
    <t>EV</t>
  </si>
  <si>
    <t>Eq+debt-cash</t>
  </si>
  <si>
    <t>Intrinsic value</t>
  </si>
  <si>
    <t>Eq</t>
  </si>
  <si>
    <t>Revenue growth</t>
  </si>
  <si>
    <t>FCFF after TV</t>
  </si>
  <si>
    <t>FCC*(1+g)/(WACC-g)</t>
  </si>
  <si>
    <t>Ambuja</t>
  </si>
  <si>
    <t>Dalmia Bharat</t>
  </si>
  <si>
    <t>EPS</t>
  </si>
  <si>
    <t>No of shares</t>
  </si>
  <si>
    <t>Trailing PE</t>
  </si>
  <si>
    <t>Trailing PS</t>
  </si>
  <si>
    <t>Trailing PEG</t>
  </si>
  <si>
    <t>Leading PE</t>
  </si>
  <si>
    <t>Leading PS</t>
  </si>
  <si>
    <t>Leading PEG</t>
  </si>
  <si>
    <t>Trailing EV/EBITDA</t>
  </si>
  <si>
    <t>Trailing EV/Sales</t>
  </si>
  <si>
    <t>Leading EV/EBITDA</t>
  </si>
  <si>
    <t xml:space="preserve">Leading EV/Sales </t>
  </si>
  <si>
    <t>Mean</t>
  </si>
  <si>
    <t>Median</t>
  </si>
  <si>
    <t>min</t>
  </si>
  <si>
    <t>max</t>
  </si>
  <si>
    <t>Weights</t>
  </si>
  <si>
    <t>Equity value</t>
  </si>
  <si>
    <t>Stock price</t>
  </si>
  <si>
    <t>DCF</t>
  </si>
  <si>
    <t>Final Valuation</t>
  </si>
  <si>
    <t>Min</t>
  </si>
  <si>
    <t>Max</t>
  </si>
  <si>
    <t>Reference Model</t>
  </si>
  <si>
    <t>Year</t>
  </si>
  <si>
    <t>http://proschoolonline.com</t>
  </si>
  <si>
    <t>Mumbai</t>
  </si>
  <si>
    <t>IMS Proschool Pvt Ltd,</t>
  </si>
  <si>
    <t>Maharashtra High School Complex,</t>
  </si>
  <si>
    <t>Principal N.M Kale Marg, Off Gokhale Rd,</t>
  </si>
  <si>
    <t>Dadar (W), Mumbai 400028</t>
  </si>
  <si>
    <t>+91 9372895050</t>
  </si>
  <si>
    <r>
      <t>Email ID : </t>
    </r>
    <r>
      <rPr>
        <sz val="9"/>
        <color indexed="63"/>
        <rFont val="Tahoma"/>
        <family val="2"/>
      </rPr>
      <t>mumbai@proschoolonline.com</t>
    </r>
  </si>
  <si>
    <r>
      <t>Tel. No. :</t>
    </r>
    <r>
      <rPr>
        <sz val="9"/>
        <color indexed="63"/>
        <rFont val="Tahoma"/>
        <family val="2"/>
      </rPr>
      <t> 022-65285393/94</t>
    </r>
  </si>
  <si>
    <t>ACC Cement</t>
  </si>
  <si>
    <t xml:space="preserve">Prepared By: </t>
  </si>
  <si>
    <t xml:space="preserve">Suvin Shetty , Yogesh Choudhari , Akshada Joshi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</si>
</sst>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&quot;£&quot;#,##0;[Red]\-&quot;£&quot;#,##0"/>
    <numFmt numFmtId="165" formatCode="_(* #,##0_);_(* \(#,##0\);_(* &quot;-&quot;??_);_(@_)"/>
    <numFmt numFmtId="166" formatCode="0.00;[Red]0.00"/>
    <numFmt numFmtId="167" formatCode="_-* #,##0_-;\-* #,##0_-;_-* &quot;-&quot;??_-;_-@_-"/>
    <numFmt numFmtId="168" formatCode="0.0"/>
    <numFmt numFmtId="169" formatCode="0.0%"/>
    <numFmt numFmtId="170" formatCode="_-* #,##0.0_-;\-* #,##0.0_-;_-* &quot;-&quot;??_-;_-@_-"/>
  </numFmts>
  <fonts count="22" x14ac:knownFonts="1">
    <font>
      <sz val="11"/>
      <color rgb="FF000000"/>
      <name val="Calibri"/>
    </font>
    <font>
      <sz val="11"/>
      <color rgb="FFFFFFFF"/>
      <name val="Calibri"/>
    </font>
    <font>
      <sz val="11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i/>
      <sz val="8"/>
      <color rgb="FF000000"/>
      <name val="Calibri"/>
      <family val="2"/>
    </font>
    <font>
      <sz val="11"/>
      <color rgb="FFFF0000"/>
      <name val="Calibri"/>
      <family val="2"/>
    </font>
    <font>
      <b/>
      <u/>
      <sz val="22"/>
      <color rgb="FF404040"/>
      <name val="Calibri"/>
      <family val="2"/>
    </font>
    <font>
      <u/>
      <sz val="11"/>
      <color rgb="FF0000FF"/>
      <name val="Calibri"/>
      <family val="2"/>
    </font>
    <font>
      <b/>
      <sz val="9"/>
      <color rgb="FF444444"/>
      <name val="Tahoma"/>
      <family val="2"/>
    </font>
    <font>
      <sz val="9"/>
      <color rgb="FF444444"/>
      <name val="Tahoma"/>
      <family val="2"/>
    </font>
    <font>
      <u/>
      <sz val="11"/>
      <color theme="10"/>
      <name val="Calibri"/>
    </font>
    <font>
      <sz val="11"/>
      <color theme="1"/>
      <name val="Calibri"/>
      <family val="2"/>
    </font>
    <font>
      <b/>
      <sz val="32"/>
      <color theme="1"/>
      <name val="Calibri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/>
      <name val="Calibri"/>
    </font>
    <font>
      <sz val="9"/>
      <color indexed="63"/>
      <name val="Tahoma"/>
      <family val="2"/>
    </font>
    <font>
      <u/>
      <sz val="11"/>
      <color theme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96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Border="1"/>
    <xf numFmtId="165" fontId="0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9" fontId="0" fillId="0" borderId="1" xfId="0" applyNumberFormat="1" applyFont="1" applyBorder="1"/>
    <xf numFmtId="166" fontId="0" fillId="0" borderId="1" xfId="0" applyNumberFormat="1" applyFont="1" applyBorder="1"/>
    <xf numFmtId="0" fontId="6" fillId="0" borderId="0" xfId="0" applyFont="1" applyAlignment="1"/>
    <xf numFmtId="0" fontId="0" fillId="0" borderId="1" xfId="0" applyBorder="1"/>
    <xf numFmtId="167" fontId="0" fillId="0" borderId="1" xfId="1" applyNumberFormat="1" applyFont="1" applyBorder="1"/>
    <xf numFmtId="0" fontId="6" fillId="0" borderId="1" xfId="0" applyFont="1" applyBorder="1"/>
    <xf numFmtId="2" fontId="0" fillId="0" borderId="1" xfId="0" applyNumberFormat="1" applyBorder="1"/>
    <xf numFmtId="9" fontId="0" fillId="0" borderId="1" xfId="0" applyNumberFormat="1" applyBorder="1"/>
    <xf numFmtId="9" fontId="4" fillId="0" borderId="1" xfId="0" applyNumberFormat="1" applyFont="1" applyBorder="1"/>
    <xf numFmtId="2" fontId="4" fillId="0" borderId="1" xfId="0" applyNumberFormat="1" applyFont="1" applyBorder="1"/>
    <xf numFmtId="1" fontId="0" fillId="0" borderId="1" xfId="0" applyNumberFormat="1" applyBorder="1"/>
    <xf numFmtId="0" fontId="0" fillId="0" borderId="1" xfId="0" applyFont="1" applyBorder="1" applyAlignment="1"/>
    <xf numFmtId="0" fontId="6" fillId="0" borderId="1" xfId="0" applyFont="1" applyBorder="1" applyAlignment="1"/>
    <xf numFmtId="168" fontId="0" fillId="0" borderId="1" xfId="0" applyNumberFormat="1" applyFont="1" applyBorder="1" applyAlignment="1"/>
    <xf numFmtId="9" fontId="0" fillId="0" borderId="0" xfId="0" applyNumberFormat="1" applyFont="1" applyAlignmen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/>
    <xf numFmtId="3" fontId="0" fillId="0" borderId="0" xfId="0" applyNumberFormat="1" applyFont="1" applyAlignment="1"/>
    <xf numFmtId="167" fontId="0" fillId="0" borderId="0" xfId="0" applyNumberFormat="1" applyFont="1" applyAlignment="1"/>
    <xf numFmtId="9" fontId="0" fillId="0" borderId="0" xfId="0" applyNumberFormat="1" applyAlignment="1"/>
    <xf numFmtId="0" fontId="0" fillId="0" borderId="0" xfId="0" applyNumberFormat="1" applyFont="1" applyAlignment="1"/>
    <xf numFmtId="0" fontId="6" fillId="0" borderId="0" xfId="0" applyNumberFormat="1" applyFont="1" applyAlignment="1"/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0" xfId="0" applyFont="1" applyAlignment="1"/>
    <xf numFmtId="3" fontId="8" fillId="0" borderId="0" xfId="0" applyNumberFormat="1" applyFont="1" applyAlignment="1"/>
    <xf numFmtId="0" fontId="0" fillId="0" borderId="2" xfId="0" applyBorder="1" applyAlignment="1"/>
    <xf numFmtId="3" fontId="0" fillId="0" borderId="2" xfId="0" applyNumberFormat="1" applyFont="1" applyBorder="1" applyAlignment="1"/>
    <xf numFmtId="167" fontId="0" fillId="0" borderId="2" xfId="0" applyNumberFormat="1" applyFont="1" applyBorder="1" applyAlignment="1"/>
    <xf numFmtId="1" fontId="0" fillId="0" borderId="0" xfId="0" applyNumberFormat="1" applyFont="1" applyAlignment="1"/>
    <xf numFmtId="0" fontId="5" fillId="0" borderId="0" xfId="0" applyFont="1" applyAlignment="1"/>
    <xf numFmtId="9" fontId="5" fillId="0" borderId="0" xfId="0" applyNumberFormat="1" applyFont="1" applyAlignment="1"/>
    <xf numFmtId="0" fontId="6" fillId="0" borderId="0" xfId="0" applyFont="1" applyFill="1" applyBorder="1" applyAlignment="1"/>
    <xf numFmtId="167" fontId="0" fillId="0" borderId="0" xfId="1" applyNumberFormat="1" applyFont="1" applyAlignment="1"/>
    <xf numFmtId="0" fontId="0" fillId="0" borderId="0" xfId="0" applyFont="1" applyFill="1" applyBorder="1" applyAlignment="1"/>
    <xf numFmtId="2" fontId="0" fillId="0" borderId="0" xfId="0" applyNumberFormat="1" applyFont="1" applyAlignment="1"/>
    <xf numFmtId="168" fontId="0" fillId="0" borderId="0" xfId="0" applyNumberFormat="1" applyFont="1" applyAlignment="1"/>
    <xf numFmtId="169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 indent="3"/>
    </xf>
    <xf numFmtId="0" fontId="0" fillId="0" borderId="0" xfId="0" applyFont="1" applyAlignment="1">
      <alignment horizontal="left" indent="4"/>
    </xf>
    <xf numFmtId="0" fontId="0" fillId="0" borderId="0" xfId="0" applyAlignment="1">
      <alignment horizontal="left" indent="3"/>
    </xf>
    <xf numFmtId="0" fontId="9" fillId="0" borderId="0" xfId="0" applyFont="1" applyAlignment="1"/>
    <xf numFmtId="9" fontId="9" fillId="0" borderId="0" xfId="0" applyNumberFormat="1" applyFont="1" applyAlignment="1"/>
    <xf numFmtId="167" fontId="10" fillId="0" borderId="0" xfId="0" applyNumberFormat="1" applyFont="1" applyAlignment="1"/>
    <xf numFmtId="167" fontId="8" fillId="0" borderId="0" xfId="1" applyNumberFormat="1" applyFont="1" applyAlignment="1"/>
    <xf numFmtId="0" fontId="8" fillId="0" borderId="3" xfId="0" applyFont="1" applyBorder="1" applyAlignment="1"/>
    <xf numFmtId="167" fontId="8" fillId="0" borderId="3" xfId="1" applyNumberFormat="1" applyFont="1" applyBorder="1" applyAlignment="1"/>
    <xf numFmtId="0" fontId="8" fillId="0" borderId="0" xfId="0" applyFont="1" applyAlignment="1">
      <alignment horizontal="left" indent="1"/>
    </xf>
    <xf numFmtId="0" fontId="0" fillId="4" borderId="0" xfId="0" applyFont="1" applyFill="1" applyAlignment="1"/>
    <xf numFmtId="167" fontId="0" fillId="4" borderId="0" xfId="1" applyNumberFormat="1" applyFont="1" applyFill="1" applyAlignment="1"/>
    <xf numFmtId="167" fontId="0" fillId="4" borderId="0" xfId="0" applyNumberFormat="1" applyFont="1" applyFill="1" applyAlignment="1"/>
    <xf numFmtId="1" fontId="0" fillId="0" borderId="2" xfId="0" applyNumberFormat="1" applyFont="1" applyBorder="1" applyAlignment="1"/>
    <xf numFmtId="1" fontId="8" fillId="0" borderId="0" xfId="0" applyNumberFormat="1" applyFont="1" applyAlignment="1"/>
    <xf numFmtId="10" fontId="0" fillId="0" borderId="0" xfId="0" applyNumberFormat="1" applyFont="1" applyAlignment="1"/>
    <xf numFmtId="43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2" xfId="0" applyFont="1" applyFill="1" applyBorder="1" applyAlignment="1"/>
    <xf numFmtId="0" fontId="0" fillId="0" borderId="2" xfId="0" applyFont="1" applyBorder="1" applyAlignment="1"/>
    <xf numFmtId="167" fontId="0" fillId="0" borderId="2" xfId="1" applyNumberFormat="1" applyFont="1" applyBorder="1" applyAlignment="1"/>
    <xf numFmtId="0" fontId="0" fillId="0" borderId="0" xfId="0"/>
    <xf numFmtId="170" fontId="0" fillId="0" borderId="0" xfId="1" applyNumberFormat="1" applyFont="1" applyAlignment="1"/>
    <xf numFmtId="0" fontId="0" fillId="4" borderId="1" xfId="0" applyFill="1" applyBorder="1"/>
    <xf numFmtId="168" fontId="0" fillId="4" borderId="1" xfId="0" applyNumberFormat="1" applyFill="1" applyBorder="1"/>
    <xf numFmtId="0" fontId="16" fillId="0" borderId="0" xfId="0" applyFont="1" applyBorder="1"/>
    <xf numFmtId="0" fontId="11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12" fillId="0" borderId="0" xfId="2" applyNumberFormat="1" applyFont="1" applyBorder="1" applyAlignment="1" applyProtection="1">
      <alignment horizontal="center"/>
    </xf>
    <xf numFmtId="0" fontId="13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4">
    <cellStyle name="Comma" xfId="1" builtinId="3"/>
    <cellStyle name="Followed Hyperlink" xfId="3" builtinId="9" hidden="1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6</xdr:row>
      <xdr:rowOff>50800</xdr:rowOff>
    </xdr:from>
    <xdr:to>
      <xdr:col>6</xdr:col>
      <xdr:colOff>508000</xdr:colOff>
      <xdr:row>10</xdr:row>
      <xdr:rowOff>127000</xdr:rowOff>
    </xdr:to>
    <xdr:pic>
      <xdr:nvPicPr>
        <xdr:cNvPr id="2" name="Picture 1" descr="http://proschoolonline.com/wp/wp-content/uploads/2011/02/proschool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625600"/>
          <a:ext cx="36703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7</xdr:col>
      <xdr:colOff>393700</xdr:colOff>
      <xdr:row>11</xdr:row>
      <xdr:rowOff>101600</xdr:rowOff>
    </xdr:to>
    <xdr:sp macro="" textlink="">
      <xdr:nvSpPr>
        <xdr:cNvPr id="1025" name="AutoShape 1" descr="ttp://proschoolonline.com/wp/wp-content/uploads/2011/02/proschool.png"/>
        <xdr:cNvSpPr>
          <a:spLocks noChangeAspect="1" noChangeArrowheads="1"/>
        </xdr:cNvSpPr>
      </xdr:nvSpPr>
      <xdr:spPr bwMode="auto">
        <a:xfrm>
          <a:off x="2476500" y="1752600"/>
          <a:ext cx="36957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roschoolonlin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showRowColHeaders="0" tabSelected="1" workbookViewId="0">
      <selection activeCell="E2" sqref="E2"/>
    </sheetView>
  </sheetViews>
  <sheetFormatPr baseColWidth="10" defaultRowHeight="14" x14ac:dyDescent="0"/>
  <sheetData>
    <row r="1" spans="1:7">
      <c r="A1" s="78"/>
      <c r="B1" s="78"/>
      <c r="C1" s="78"/>
      <c r="D1" s="78"/>
      <c r="E1" s="78"/>
      <c r="F1" s="78"/>
      <c r="G1" s="78"/>
    </row>
    <row r="2" spans="1:7" ht="28">
      <c r="A2" s="78"/>
      <c r="B2" s="78"/>
      <c r="C2" s="78"/>
      <c r="D2" s="78"/>
      <c r="E2" s="79" t="s">
        <v>213</v>
      </c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 ht="40">
      <c r="A4" s="78"/>
      <c r="B4" s="78"/>
      <c r="C4" s="78"/>
      <c r="D4" s="78"/>
      <c r="E4" s="80" t="s">
        <v>224</v>
      </c>
      <c r="F4" s="78"/>
      <c r="G4" s="78"/>
    </row>
    <row r="5" spans="1:7">
      <c r="A5" s="78"/>
      <c r="B5" s="78"/>
      <c r="C5" s="78"/>
      <c r="D5" s="81" t="s">
        <v>225</v>
      </c>
      <c r="E5" t="s">
        <v>226</v>
      </c>
      <c r="F5" s="78"/>
      <c r="G5" s="78"/>
    </row>
    <row r="6" spans="1:7">
      <c r="A6" s="78"/>
      <c r="B6" s="78"/>
      <c r="C6" s="78"/>
      <c r="D6" s="82" t="s">
        <v>214</v>
      </c>
      <c r="E6" s="82">
        <v>2017</v>
      </c>
      <c r="F6" s="78"/>
      <c r="G6" s="78"/>
    </row>
    <row r="7" spans="1:7">
      <c r="A7" s="78"/>
      <c r="B7" s="78"/>
      <c r="C7" s="78"/>
      <c r="D7" s="78"/>
      <c r="E7" s="78"/>
      <c r="F7" s="78"/>
      <c r="G7" s="78"/>
    </row>
    <row r="8" spans="1:7">
      <c r="A8" s="78"/>
      <c r="B8" s="78"/>
      <c r="C8" s="78"/>
      <c r="D8" s="78"/>
      <c r="E8" s="78"/>
      <c r="F8" s="78"/>
      <c r="G8" s="78"/>
    </row>
    <row r="9" spans="1:7">
      <c r="A9" s="78"/>
      <c r="B9" s="78"/>
      <c r="C9" s="78"/>
      <c r="D9" s="78"/>
      <c r="E9" s="78"/>
      <c r="F9" s="78"/>
      <c r="G9" s="78"/>
    </row>
    <row r="10" spans="1:7">
      <c r="A10" s="78"/>
      <c r="B10" s="78"/>
      <c r="C10" s="78"/>
      <c r="D10" s="78"/>
      <c r="E10" s="78"/>
      <c r="F10" s="78"/>
      <c r="G10" s="78"/>
    </row>
    <row r="11" spans="1:7">
      <c r="A11" s="78"/>
      <c r="B11" s="78"/>
      <c r="C11" s="78"/>
      <c r="D11" s="78"/>
      <c r="E11" s="78"/>
      <c r="F11" s="78"/>
      <c r="G11" s="78"/>
    </row>
    <row r="12" spans="1:7">
      <c r="A12" s="78"/>
      <c r="B12" s="78"/>
      <c r="C12" s="78"/>
      <c r="D12" s="78"/>
      <c r="E12" s="78"/>
      <c r="F12" s="78"/>
      <c r="G12" s="78"/>
    </row>
    <row r="13" spans="1:7">
      <c r="A13" s="78"/>
      <c r="B13" s="78"/>
      <c r="C13" s="78"/>
      <c r="D13" s="78"/>
      <c r="E13" s="83" t="s">
        <v>215</v>
      </c>
      <c r="F13" s="78"/>
      <c r="G13" s="78"/>
    </row>
    <row r="14" spans="1:7">
      <c r="A14" s="78"/>
      <c r="B14" s="78"/>
      <c r="C14" s="78"/>
      <c r="D14" s="78"/>
      <c r="E14" s="84" t="s">
        <v>222</v>
      </c>
      <c r="F14" s="78"/>
      <c r="G14" s="78"/>
    </row>
    <row r="15" spans="1:7">
      <c r="A15" s="78"/>
      <c r="B15" s="78"/>
      <c r="C15" s="78"/>
      <c r="D15" s="78"/>
      <c r="E15" s="84"/>
      <c r="F15" s="78"/>
      <c r="G15" s="78"/>
    </row>
    <row r="16" spans="1:7">
      <c r="A16" s="78"/>
      <c r="B16" s="78"/>
      <c r="C16" s="78"/>
      <c r="D16" s="78"/>
      <c r="E16" s="84" t="s">
        <v>216</v>
      </c>
      <c r="F16" s="78"/>
      <c r="G16" s="78"/>
    </row>
    <row r="17" spans="1:7">
      <c r="A17" s="78"/>
      <c r="B17" s="78"/>
      <c r="C17" s="78"/>
      <c r="D17" s="78"/>
      <c r="E17" s="85"/>
      <c r="F17" s="78"/>
      <c r="G17" s="78"/>
    </row>
    <row r="18" spans="1:7">
      <c r="A18" s="78"/>
      <c r="B18" s="78"/>
      <c r="C18" s="78"/>
      <c r="D18" s="78"/>
      <c r="E18" s="86" t="s">
        <v>217</v>
      </c>
      <c r="F18" s="78"/>
      <c r="G18" s="78"/>
    </row>
    <row r="19" spans="1:7">
      <c r="A19" s="78"/>
      <c r="B19" s="78"/>
      <c r="C19" s="78"/>
      <c r="D19" s="78"/>
      <c r="E19" s="86" t="s">
        <v>218</v>
      </c>
      <c r="F19" s="78"/>
      <c r="G19" s="78"/>
    </row>
    <row r="20" spans="1:7">
      <c r="A20" s="78"/>
      <c r="B20" s="78"/>
      <c r="C20" s="78"/>
      <c r="D20" s="78"/>
      <c r="E20" s="86" t="s">
        <v>219</v>
      </c>
      <c r="F20" s="78"/>
      <c r="G20" s="78"/>
    </row>
    <row r="21" spans="1:7">
      <c r="A21" s="78"/>
      <c r="B21" s="78"/>
      <c r="C21" s="78"/>
      <c r="D21" s="78"/>
      <c r="E21" s="86" t="s">
        <v>220</v>
      </c>
      <c r="F21" s="78"/>
      <c r="G21" s="78"/>
    </row>
    <row r="22" spans="1:7">
      <c r="A22" s="78"/>
      <c r="B22" s="78"/>
      <c r="C22" s="78"/>
      <c r="D22" s="78"/>
      <c r="E22" s="84" t="s">
        <v>223</v>
      </c>
      <c r="F22" s="78"/>
      <c r="G22" s="78"/>
    </row>
    <row r="23" spans="1:7">
      <c r="A23" s="78"/>
      <c r="B23" s="78"/>
      <c r="C23" s="78"/>
      <c r="D23" s="78"/>
      <c r="E23" s="86" t="s">
        <v>221</v>
      </c>
      <c r="F23" s="78"/>
      <c r="G23" s="78"/>
    </row>
  </sheetData>
  <hyperlinks>
    <hyperlink ref="E13" r:id="rId1" display="http://proschoolonline.com/"/>
  </hyperlinks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selection activeCell="G12" sqref="G12"/>
    </sheetView>
  </sheetViews>
  <sheetFormatPr baseColWidth="10" defaultColWidth="8.83203125" defaultRowHeight="14" x14ac:dyDescent="0"/>
  <cols>
    <col min="1" max="1" width="39.1640625" bestFit="1" customWidth="1"/>
  </cols>
  <sheetData>
    <row r="1" spans="1:10">
      <c r="A1" s="23" t="s">
        <v>33</v>
      </c>
      <c r="B1" s="24">
        <v>2015</v>
      </c>
      <c r="C1" s="24">
        <v>2016</v>
      </c>
      <c r="D1" s="24">
        <v>2017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</row>
    <row r="2" spans="1:10">
      <c r="A2" s="11" t="s">
        <v>20</v>
      </c>
      <c r="B2" s="12">
        <f>'DuPoint Analysis'!E9-1443</f>
        <v>11917</v>
      </c>
      <c r="C2" s="12">
        <f>'DuPoint Analysis'!F9-1534</f>
        <v>11112.2</v>
      </c>
      <c r="D2" s="12">
        <f>'DuPoint Analysis'!G9-916</f>
        <v>13413.58</v>
      </c>
      <c r="E2" s="12">
        <f>E4*E11</f>
        <v>14440.822518987343</v>
      </c>
      <c r="F2" s="12">
        <f>F4*F11</f>
        <v>15537.255339873422</v>
      </c>
      <c r="G2" s="12">
        <f>G4*G11</f>
        <v>16707.229386550636</v>
      </c>
      <c r="H2" s="12">
        <f>H4*H11</f>
        <v>17955.35769954589</v>
      </c>
      <c r="I2" s="12">
        <f>I4*I11</f>
        <v>19286.530770374298</v>
      </c>
    </row>
    <row r="3" spans="1:10">
      <c r="A3" s="11"/>
      <c r="B3" s="12"/>
      <c r="C3" s="12"/>
      <c r="D3" s="12"/>
      <c r="E3" s="12"/>
      <c r="F3" s="12"/>
      <c r="G3" s="12"/>
      <c r="H3" s="12"/>
      <c r="I3" s="12"/>
    </row>
    <row r="4" spans="1:10">
      <c r="A4" s="13" t="s">
        <v>24</v>
      </c>
      <c r="B4" s="11">
        <v>23.62</v>
      </c>
      <c r="C4" s="11">
        <v>22.99</v>
      </c>
      <c r="D4" s="11">
        <v>26.21</v>
      </c>
      <c r="E4" s="14">
        <f>E5*E6</f>
        <v>26.87354430379747</v>
      </c>
      <c r="F4" s="14">
        <f>F5*F6</f>
        <v>27.537088607594939</v>
      </c>
      <c r="G4" s="14">
        <f>G5*G6</f>
        <v>28.200632911392407</v>
      </c>
      <c r="H4" s="14">
        <f>H5*H6</f>
        <v>28.864177215189873</v>
      </c>
      <c r="I4" s="14">
        <f>I5*I6</f>
        <v>29.527721518987345</v>
      </c>
    </row>
    <row r="5" spans="1:10">
      <c r="A5" s="13" t="s">
        <v>25</v>
      </c>
      <c r="B5" s="11">
        <v>23.84</v>
      </c>
      <c r="C5" s="11">
        <v>23.18</v>
      </c>
      <c r="D5" s="11">
        <v>26.56</v>
      </c>
      <c r="E5" s="14">
        <f>E9*E8</f>
        <v>27.232405063291136</v>
      </c>
      <c r="F5" s="14">
        <f>F9*F8</f>
        <v>27.904810126582277</v>
      </c>
      <c r="G5" s="14">
        <f>G9*G8</f>
        <v>28.577215189873417</v>
      </c>
      <c r="H5" s="14">
        <f>H9*H8</f>
        <v>29.249620253164554</v>
      </c>
      <c r="I5" s="14">
        <f>I9*I8</f>
        <v>29.922025316455695</v>
      </c>
    </row>
    <row r="6" spans="1:10">
      <c r="A6" s="11" t="s">
        <v>21</v>
      </c>
      <c r="B6" s="15">
        <f>B4/B5</f>
        <v>0.990771812080537</v>
      </c>
      <c r="C6" s="15">
        <f>C4/C5</f>
        <v>0.99180327868852458</v>
      </c>
      <c r="D6" s="15">
        <f>D4/D5</f>
        <v>0.98682228915662662</v>
      </c>
      <c r="E6" s="16">
        <f>$D$6</f>
        <v>0.98682228915662662</v>
      </c>
      <c r="F6" s="16">
        <f t="shared" ref="F6:I6" si="0">$D$6</f>
        <v>0.98682228915662662</v>
      </c>
      <c r="G6" s="16">
        <f t="shared" si="0"/>
        <v>0.98682228915662662</v>
      </c>
      <c r="H6" s="16">
        <f t="shared" si="0"/>
        <v>0.98682228915662662</v>
      </c>
      <c r="I6" s="16">
        <f t="shared" si="0"/>
        <v>0.98682228915662662</v>
      </c>
      <c r="J6" s="10" t="s">
        <v>28</v>
      </c>
    </row>
    <row r="7" spans="1:10">
      <c r="A7" s="11"/>
      <c r="B7" s="15"/>
      <c r="C7" s="15"/>
      <c r="D7" s="15"/>
      <c r="E7" s="15"/>
      <c r="F7" s="15"/>
      <c r="G7" s="15"/>
      <c r="H7" s="15"/>
      <c r="I7" s="15"/>
    </row>
    <row r="8" spans="1:10">
      <c r="A8" s="11" t="s">
        <v>22</v>
      </c>
      <c r="B8" s="15">
        <v>0.77</v>
      </c>
      <c r="C8" s="15">
        <v>0.73</v>
      </c>
      <c r="D8" s="15">
        <v>0.79</v>
      </c>
      <c r="E8" s="16">
        <f>D8+2%</f>
        <v>0.81</v>
      </c>
      <c r="F8" s="16">
        <f t="shared" ref="F8:I8" si="1">E8+2%</f>
        <v>0.83000000000000007</v>
      </c>
      <c r="G8" s="16">
        <f t="shared" si="1"/>
        <v>0.85000000000000009</v>
      </c>
      <c r="H8" s="16">
        <f t="shared" si="1"/>
        <v>0.87000000000000011</v>
      </c>
      <c r="I8" s="16">
        <f t="shared" si="1"/>
        <v>0.89000000000000012</v>
      </c>
      <c r="J8" s="10" t="s">
        <v>29</v>
      </c>
    </row>
    <row r="9" spans="1:10">
      <c r="A9" s="13" t="s">
        <v>26</v>
      </c>
      <c r="B9" s="14">
        <f>B5*100%/B8</f>
        <v>30.961038961038959</v>
      </c>
      <c r="C9" s="14">
        <f>C5*100%/C8</f>
        <v>31.753424657534246</v>
      </c>
      <c r="D9" s="14">
        <f>D5*100%/D8</f>
        <v>33.620253164556956</v>
      </c>
      <c r="E9" s="17">
        <f>$D$9</f>
        <v>33.620253164556956</v>
      </c>
      <c r="F9" s="17">
        <f t="shared" ref="F9:I9" si="2">$D$9</f>
        <v>33.620253164556956</v>
      </c>
      <c r="G9" s="17">
        <f t="shared" si="2"/>
        <v>33.620253164556956</v>
      </c>
      <c r="H9" s="17">
        <f t="shared" si="2"/>
        <v>33.620253164556956</v>
      </c>
      <c r="I9" s="17">
        <f t="shared" si="2"/>
        <v>33.620253164556956</v>
      </c>
      <c r="J9" s="10" t="s">
        <v>30</v>
      </c>
    </row>
    <row r="10" spans="1:10">
      <c r="A10" s="11"/>
      <c r="B10" s="11"/>
      <c r="C10" s="15"/>
      <c r="D10" s="15"/>
      <c r="E10" s="11"/>
      <c r="F10" s="11"/>
      <c r="G10" s="11"/>
      <c r="H10" s="11"/>
      <c r="I10" s="11"/>
    </row>
    <row r="11" spans="1:10">
      <c r="A11" s="13" t="s">
        <v>27</v>
      </c>
      <c r="B11" s="18">
        <f>B2/B4</f>
        <v>504.53005927180351</v>
      </c>
      <c r="C11" s="18">
        <f>C2/C4</f>
        <v>483.34928229665076</v>
      </c>
      <c r="D11" s="18">
        <f>D2/D4</f>
        <v>511.77336894315147</v>
      </c>
      <c r="E11" s="18">
        <f>D11*(1+E12)</f>
        <v>537.36203739030907</v>
      </c>
      <c r="F11" s="18">
        <f t="shared" ref="F11:I11" si="3">E11*(1+F12)</f>
        <v>564.23013925982457</v>
      </c>
      <c r="G11" s="18">
        <f t="shared" si="3"/>
        <v>592.44164622281585</v>
      </c>
      <c r="H11" s="18">
        <f t="shared" si="3"/>
        <v>622.06372853395669</v>
      </c>
      <c r="I11" s="18">
        <f t="shared" si="3"/>
        <v>653.16691496065459</v>
      </c>
    </row>
    <row r="12" spans="1:10">
      <c r="A12" s="19"/>
      <c r="B12" s="19"/>
      <c r="C12" s="15">
        <f>C11/B11-1</f>
        <v>-4.1981199307972505E-2</v>
      </c>
      <c r="D12" s="15">
        <f>D11/C11-1</f>
        <v>5.8806514641839724E-2</v>
      </c>
      <c r="E12" s="16">
        <f>DCF!$B$33</f>
        <v>0.05</v>
      </c>
      <c r="F12" s="16">
        <f>DCF!$B$33</f>
        <v>0.05</v>
      </c>
      <c r="G12" s="16">
        <f>DCF!$B$33</f>
        <v>0.05</v>
      </c>
      <c r="H12" s="16">
        <f>DCF!$B$33</f>
        <v>0.05</v>
      </c>
      <c r="I12" s="16">
        <f>DCF!$B$33</f>
        <v>0.05</v>
      </c>
      <c r="J12" s="10" t="s">
        <v>31</v>
      </c>
    </row>
    <row r="13" spans="1:10">
      <c r="A13" s="19"/>
      <c r="B13" s="11"/>
      <c r="C13" s="19"/>
      <c r="D13" s="19"/>
      <c r="E13" s="19"/>
      <c r="F13" s="19"/>
      <c r="G13" s="19"/>
      <c r="H13" s="19"/>
      <c r="I13" s="19"/>
    </row>
    <row r="14" spans="1:10">
      <c r="A14" s="19"/>
      <c r="B14" s="19"/>
      <c r="C14" s="19"/>
      <c r="D14" s="19"/>
      <c r="E14" s="19"/>
      <c r="F14" s="19"/>
      <c r="G14" s="19"/>
      <c r="H14" s="19"/>
      <c r="I14" s="19"/>
    </row>
    <row r="15" spans="1:10">
      <c r="A15" s="13" t="s">
        <v>32</v>
      </c>
      <c r="B15" s="12">
        <f>B11*10000000/1000000</f>
        <v>5045.3005927180347</v>
      </c>
      <c r="C15" s="12">
        <f t="shared" ref="C15:I15" si="4">C11*10000000/1000000</f>
        <v>4833.4928229665084</v>
      </c>
      <c r="D15" s="12">
        <f t="shared" si="4"/>
        <v>5117.7336894315149</v>
      </c>
      <c r="E15" s="12">
        <f t="shared" si="4"/>
        <v>5373.6203739030907</v>
      </c>
      <c r="F15" s="12">
        <f t="shared" si="4"/>
        <v>5642.3013925982459</v>
      </c>
      <c r="G15" s="12">
        <f t="shared" si="4"/>
        <v>5924.4164622281587</v>
      </c>
      <c r="H15" s="12">
        <f t="shared" si="4"/>
        <v>6220.6372853395669</v>
      </c>
      <c r="I15" s="12">
        <f t="shared" si="4"/>
        <v>6531.6691496065469</v>
      </c>
    </row>
    <row r="16" spans="1:10">
      <c r="A16" s="20" t="s">
        <v>23</v>
      </c>
      <c r="B16" s="21">
        <f>B15/1000</f>
        <v>5.0453005927180348</v>
      </c>
      <c r="C16" s="21">
        <f t="shared" ref="C16:I16" si="5">C15/1000</f>
        <v>4.833492822966508</v>
      </c>
      <c r="D16" s="21">
        <f t="shared" si="5"/>
        <v>5.1177336894315149</v>
      </c>
      <c r="E16" s="21">
        <f t="shared" si="5"/>
        <v>5.3736203739030906</v>
      </c>
      <c r="F16" s="21">
        <f t="shared" si="5"/>
        <v>5.6423013925982461</v>
      </c>
      <c r="G16" s="21">
        <f t="shared" si="5"/>
        <v>5.9244164622281588</v>
      </c>
      <c r="H16" s="21">
        <f t="shared" si="5"/>
        <v>6.2206372853395671</v>
      </c>
      <c r="I16" s="21">
        <f t="shared" si="5"/>
        <v>6.5316691496065467</v>
      </c>
    </row>
    <row r="17" spans="1:13">
      <c r="C17" s="22"/>
      <c r="D17" s="22"/>
    </row>
    <row r="18" spans="1:13">
      <c r="B18" s="22"/>
      <c r="C18" s="22"/>
      <c r="D18" s="22"/>
      <c r="E18" s="22"/>
      <c r="F18" s="22"/>
      <c r="G18" s="22"/>
      <c r="H18" s="22"/>
      <c r="I18" s="22"/>
    </row>
    <row r="19" spans="1:13">
      <c r="A19" s="25" t="s">
        <v>35</v>
      </c>
      <c r="B19" s="26">
        <v>1848.12</v>
      </c>
      <c r="C19" s="26">
        <v>1606.77</v>
      </c>
      <c r="D19" s="26">
        <v>1965.9799999999998</v>
      </c>
      <c r="E19" s="27">
        <f t="shared" ref="E19:I23" si="6">E$2*E29</f>
        <v>2116.5392278481013</v>
      </c>
      <c r="F19" s="27">
        <f t="shared" si="6"/>
        <v>2277.239428481013</v>
      </c>
      <c r="G19" s="27">
        <f t="shared" si="6"/>
        <v>2448.7183011075949</v>
      </c>
      <c r="H19" s="27">
        <f t="shared" si="6"/>
        <v>2631.651962425633</v>
      </c>
      <c r="I19" s="27">
        <f t="shared" si="6"/>
        <v>2826.7571941227066</v>
      </c>
    </row>
    <row r="20" spans="1:13">
      <c r="A20" s="25" t="s">
        <v>37</v>
      </c>
      <c r="B20" s="26">
        <v>2396.67</v>
      </c>
      <c r="C20" s="26">
        <v>2159.91</v>
      </c>
      <c r="D20" s="26">
        <v>2716.94</v>
      </c>
      <c r="E20" s="27">
        <f t="shared" si="6"/>
        <v>2925.0094556962026</v>
      </c>
      <c r="F20" s="27">
        <f t="shared" si="6"/>
        <v>3147.0935069620264</v>
      </c>
      <c r="G20" s="27">
        <f t="shared" si="6"/>
        <v>3384.0734397151905</v>
      </c>
      <c r="H20" s="27">
        <f t="shared" si="6"/>
        <v>3636.8836319762668</v>
      </c>
      <c r="I20" s="27">
        <f t="shared" si="6"/>
        <v>3906.5146598641636</v>
      </c>
    </row>
    <row r="21" spans="1:13">
      <c r="A21" s="25" t="s">
        <v>38</v>
      </c>
      <c r="B21" s="26">
        <v>2704.21</v>
      </c>
      <c r="C21" s="26">
        <v>2636.11</v>
      </c>
      <c r="D21" s="26">
        <v>3433.75</v>
      </c>
      <c r="E21" s="27">
        <f t="shared" si="6"/>
        <v>3913.3267365189877</v>
      </c>
      <c r="F21" s="27">
        <f t="shared" si="6"/>
        <v>4288.1359691392418</v>
      </c>
      <c r="G21" s="27">
        <f t="shared" si="6"/>
        <v>4694.5739209770582</v>
      </c>
      <c r="H21" s="27">
        <f t="shared" si="6"/>
        <v>5135.0629965124854</v>
      </c>
      <c r="I21" s="27">
        <f t="shared" si="6"/>
        <v>5612.1985966575257</v>
      </c>
    </row>
    <row r="22" spans="1:13">
      <c r="A22" s="25" t="s">
        <v>36</v>
      </c>
      <c r="B22" s="26">
        <v>772.16</v>
      </c>
      <c r="C22" s="26">
        <v>756.72</v>
      </c>
      <c r="D22" s="26">
        <v>821.36</v>
      </c>
      <c r="E22" s="27">
        <f t="shared" si="6"/>
        <v>884.26162025316466</v>
      </c>
      <c r="F22" s="27">
        <f t="shared" si="6"/>
        <v>951.40000253164578</v>
      </c>
      <c r="G22" s="27">
        <f t="shared" si="6"/>
        <v>1023.041568987342</v>
      </c>
      <c r="H22" s="27">
        <f t="shared" si="6"/>
        <v>1099.4687920822787</v>
      </c>
      <c r="I22" s="27">
        <f t="shared" si="6"/>
        <v>1180.9811335642412</v>
      </c>
    </row>
    <row r="23" spans="1:13">
      <c r="A23" s="38" t="s">
        <v>39</v>
      </c>
      <c r="B23" s="39">
        <v>2547.89</v>
      </c>
      <c r="C23" s="39">
        <v>2357.6799999999998</v>
      </c>
      <c r="D23" s="39">
        <v>2440.8000000000002</v>
      </c>
      <c r="E23" s="40">
        <f t="shared" si="6"/>
        <v>2627.722025316456</v>
      </c>
      <c r="F23" s="40">
        <f t="shared" si="6"/>
        <v>2827.2342531645577</v>
      </c>
      <c r="G23" s="40">
        <f t="shared" si="6"/>
        <v>3040.1283987341781</v>
      </c>
      <c r="H23" s="40">
        <f t="shared" si="6"/>
        <v>3267.2438732278488</v>
      </c>
      <c r="I23" s="40">
        <f t="shared" si="6"/>
        <v>3509.4705741740527</v>
      </c>
    </row>
    <row r="24" spans="1:13">
      <c r="A24" s="36" t="s">
        <v>49</v>
      </c>
      <c r="B24" s="37">
        <f>SUM(B19:B23)</f>
        <v>10269.049999999999</v>
      </c>
      <c r="C24" s="37">
        <f t="shared" ref="C24:I24" si="7">SUM(C19:C23)</f>
        <v>9517.19</v>
      </c>
      <c r="D24" s="37">
        <f t="shared" si="7"/>
        <v>11378.830000000002</v>
      </c>
      <c r="E24" s="37">
        <f t="shared" si="7"/>
        <v>12466.859065632912</v>
      </c>
      <c r="F24" s="37">
        <f t="shared" si="7"/>
        <v>13491.103160278484</v>
      </c>
      <c r="G24" s="37">
        <f t="shared" si="7"/>
        <v>14590.535629521364</v>
      </c>
      <c r="H24" s="37">
        <f t="shared" si="7"/>
        <v>15770.311256224511</v>
      </c>
      <c r="I24" s="37">
        <f t="shared" si="7"/>
        <v>17035.922158382687</v>
      </c>
      <c r="M24" s="22"/>
    </row>
    <row r="25" spans="1:13">
      <c r="A25" s="25"/>
      <c r="B25" s="41"/>
      <c r="C25" s="26"/>
      <c r="D25" s="26"/>
      <c r="M25" s="22"/>
    </row>
    <row r="26" spans="1:13">
      <c r="A26" s="25" t="s">
        <v>50</v>
      </c>
      <c r="B26" s="26">
        <f t="shared" ref="B26:I26" si="8">B2-B24</f>
        <v>1647.9500000000007</v>
      </c>
      <c r="C26" s="26">
        <f t="shared" si="8"/>
        <v>1595.0100000000002</v>
      </c>
      <c r="D26" s="26">
        <f t="shared" si="8"/>
        <v>2034.7499999999982</v>
      </c>
      <c r="E26" s="26">
        <f t="shared" si="8"/>
        <v>1973.9634533544304</v>
      </c>
      <c r="F26" s="26">
        <f t="shared" si="8"/>
        <v>2046.1521795949375</v>
      </c>
      <c r="G26" s="26">
        <f t="shared" si="8"/>
        <v>2116.6937570292721</v>
      </c>
      <c r="H26" s="26">
        <f t="shared" si="8"/>
        <v>2185.0464433213783</v>
      </c>
      <c r="I26" s="26">
        <f t="shared" si="8"/>
        <v>2250.6086119916108</v>
      </c>
      <c r="M26" s="22"/>
    </row>
    <row r="27" spans="1:13" s="33" customFormat="1">
      <c r="A27" s="25" t="s">
        <v>51</v>
      </c>
      <c r="B27" s="22">
        <f t="shared" ref="B27:I27" si="9">B26/B2</f>
        <v>0.13828564235965435</v>
      </c>
      <c r="C27" s="22">
        <f t="shared" si="9"/>
        <v>0.14353683339032774</v>
      </c>
      <c r="D27" s="22">
        <f t="shared" si="9"/>
        <v>0.15169328397042386</v>
      </c>
      <c r="E27" s="22">
        <f t="shared" si="9"/>
        <v>0.13669328397042399</v>
      </c>
      <c r="F27" s="22">
        <f t="shared" si="9"/>
        <v>0.13169328397042401</v>
      </c>
      <c r="G27" s="22">
        <f t="shared" si="9"/>
        <v>0.12669328397042398</v>
      </c>
      <c r="H27" s="22">
        <f t="shared" si="9"/>
        <v>0.12169328397042407</v>
      </c>
      <c r="I27" s="22">
        <f t="shared" si="9"/>
        <v>0.11669328397042412</v>
      </c>
      <c r="M27" s="22"/>
    </row>
    <row r="28" spans="1:13">
      <c r="L28" s="10"/>
      <c r="M28" s="22"/>
    </row>
    <row r="29" spans="1:13">
      <c r="A29" s="25" t="s">
        <v>40</v>
      </c>
      <c r="B29" s="22">
        <f>B19/B$2</f>
        <v>0.15508265503062851</v>
      </c>
      <c r="C29" s="22">
        <f t="shared" ref="C29:D29" si="10">C19/C$2</f>
        <v>0.1445951296772916</v>
      </c>
      <c r="D29" s="22">
        <f t="shared" si="10"/>
        <v>0.14656639018069745</v>
      </c>
      <c r="E29" s="28">
        <f>D29</f>
        <v>0.14656639018069745</v>
      </c>
      <c r="F29" s="28">
        <f t="shared" ref="F29:I29" si="11">E29</f>
        <v>0.14656639018069745</v>
      </c>
      <c r="G29" s="28">
        <f t="shared" si="11"/>
        <v>0.14656639018069745</v>
      </c>
      <c r="H29" s="28">
        <f t="shared" si="11"/>
        <v>0.14656639018069745</v>
      </c>
      <c r="I29" s="28">
        <f t="shared" si="11"/>
        <v>0.14656639018069745</v>
      </c>
    </row>
    <row r="30" spans="1:13">
      <c r="A30" s="25" t="s">
        <v>41</v>
      </c>
      <c r="B30" s="22">
        <f t="shared" ref="B30:D30" si="12">B20/B$2</f>
        <v>0.20111353528572629</v>
      </c>
      <c r="C30" s="22">
        <f t="shared" si="12"/>
        <v>0.19437285146055683</v>
      </c>
      <c r="D30" s="22">
        <f t="shared" si="12"/>
        <v>0.20255144413348264</v>
      </c>
      <c r="E30" s="22">
        <f>D30</f>
        <v>0.20255144413348264</v>
      </c>
      <c r="F30" s="22">
        <f t="shared" ref="F30:I30" si="13">E30</f>
        <v>0.20255144413348264</v>
      </c>
      <c r="G30" s="22">
        <f t="shared" si="13"/>
        <v>0.20255144413348264</v>
      </c>
      <c r="H30" s="22">
        <f t="shared" si="13"/>
        <v>0.20255144413348264</v>
      </c>
      <c r="I30" s="22">
        <f t="shared" si="13"/>
        <v>0.20255144413348264</v>
      </c>
    </row>
    <row r="31" spans="1:13">
      <c r="A31" s="42" t="s">
        <v>42</v>
      </c>
      <c r="B31" s="43">
        <f t="shared" ref="B31:D31" si="14">B21/B$2</f>
        <v>0.22692036586389192</v>
      </c>
      <c r="C31" s="43">
        <f t="shared" si="14"/>
        <v>0.23722665178812477</v>
      </c>
      <c r="D31" s="43">
        <f t="shared" si="14"/>
        <v>0.25599057074994147</v>
      </c>
      <c r="E31" s="22">
        <f>D31+1.5%</f>
        <v>0.27099057074994148</v>
      </c>
      <c r="F31" s="22">
        <f>E31+0.5%</f>
        <v>0.27599057074994149</v>
      </c>
      <c r="G31" s="22">
        <f t="shared" ref="G31:I31" si="15">F31+0.5%</f>
        <v>0.28099057074994149</v>
      </c>
      <c r="H31" s="22">
        <f t="shared" si="15"/>
        <v>0.2859905707499415</v>
      </c>
      <c r="I31" s="22">
        <f t="shared" si="15"/>
        <v>0.2909905707499415</v>
      </c>
    </row>
    <row r="32" spans="1:13">
      <c r="A32" s="25" t="s">
        <v>43</v>
      </c>
      <c r="B32" s="22">
        <f t="shared" ref="B32:D32" si="16">B22/B$2</f>
        <v>6.4794830913820586E-2</v>
      </c>
      <c r="C32" s="22">
        <f t="shared" si="16"/>
        <v>6.8098126383614399E-2</v>
      </c>
      <c r="D32" s="22">
        <f t="shared" si="16"/>
        <v>6.1233466382576464E-2</v>
      </c>
      <c r="E32" s="22">
        <f>D32</f>
        <v>6.1233466382576464E-2</v>
      </c>
      <c r="F32" s="22">
        <f t="shared" ref="F32:I32" si="17">E32</f>
        <v>6.1233466382576464E-2</v>
      </c>
      <c r="G32" s="22">
        <f t="shared" si="17"/>
        <v>6.1233466382576464E-2</v>
      </c>
      <c r="H32" s="22">
        <f t="shared" si="17"/>
        <v>6.1233466382576464E-2</v>
      </c>
      <c r="I32" s="22">
        <f t="shared" si="17"/>
        <v>6.1233466382576464E-2</v>
      </c>
    </row>
    <row r="33" spans="1:9">
      <c r="A33" s="25" t="s">
        <v>44</v>
      </c>
      <c r="B33" s="22">
        <f t="shared" ref="B33:D33" si="18">B23/B$2</f>
        <v>0.21380297054627842</v>
      </c>
      <c r="C33" s="22">
        <f t="shared" si="18"/>
        <v>0.21217040730008457</v>
      </c>
      <c r="D33" s="22">
        <f t="shared" si="18"/>
        <v>0.18196484458287795</v>
      </c>
      <c r="E33" s="22">
        <f>D33</f>
        <v>0.18196484458287795</v>
      </c>
      <c r="F33" s="22">
        <f t="shared" ref="F33:I33" si="19">E33</f>
        <v>0.18196484458287795</v>
      </c>
      <c r="G33" s="22">
        <f t="shared" si="19"/>
        <v>0.18196484458287795</v>
      </c>
      <c r="H33" s="22">
        <f t="shared" si="19"/>
        <v>0.18196484458287795</v>
      </c>
      <c r="I33" s="22">
        <f t="shared" si="19"/>
        <v>0.18196484458287795</v>
      </c>
    </row>
    <row r="34" spans="1:9">
      <c r="B34" s="22"/>
      <c r="C34" s="22"/>
      <c r="D34" s="22"/>
    </row>
    <row r="35" spans="1:9">
      <c r="A35" s="10" t="s">
        <v>45</v>
      </c>
      <c r="B35" s="29">
        <v>48.72</v>
      </c>
      <c r="C35" s="30">
        <v>43.58</v>
      </c>
      <c r="D35" s="29">
        <v>50.83</v>
      </c>
    </row>
    <row r="36" spans="1:9">
      <c r="A36" s="10" t="s">
        <v>46</v>
      </c>
      <c r="C36" s="22">
        <f>C35/B35-1</f>
        <v>-0.10550082101806246</v>
      </c>
      <c r="D36" s="22">
        <f>D35/C35-1</f>
        <v>0.16636071592473622</v>
      </c>
    </row>
    <row r="37" spans="1:9">
      <c r="A37" s="10" t="s">
        <v>47</v>
      </c>
      <c r="B37">
        <v>53.03</v>
      </c>
      <c r="C37" s="31">
        <v>45.13</v>
      </c>
      <c r="D37" s="31">
        <v>54.17</v>
      </c>
      <c r="E37" s="31">
        <v>72.819999999999993</v>
      </c>
      <c r="F37" s="31"/>
      <c r="G37" s="31"/>
      <c r="H37" s="31"/>
      <c r="I37" s="31"/>
    </row>
    <row r="38" spans="1:9">
      <c r="C38" s="22">
        <f>C37/B37-1</f>
        <v>-0.14897227984159911</v>
      </c>
      <c r="D38" s="22">
        <f>D37/C37-1</f>
        <v>0.20031021493463319</v>
      </c>
      <c r="E38" s="22">
        <f>E37/D37-1</f>
        <v>0.34428650544581862</v>
      </c>
    </row>
    <row r="39" spans="1:9">
      <c r="A39" s="25" t="s">
        <v>48</v>
      </c>
      <c r="B39">
        <v>66.768000000000001</v>
      </c>
      <c r="C39">
        <v>69.596000000000004</v>
      </c>
      <c r="D39">
        <v>67.808999999999997</v>
      </c>
    </row>
    <row r="40" spans="1:9">
      <c r="C40" s="22">
        <f>C39/B39-1</f>
        <v>4.2355619458423144E-2</v>
      </c>
      <c r="D40" s="22">
        <f>D39/C39-1</f>
        <v>-2.5676763032358219E-2</v>
      </c>
    </row>
    <row r="41" spans="1:9">
      <c r="A41" s="10"/>
      <c r="C41" s="22">
        <f>C21/B21-1</f>
        <v>-2.5182955465736678E-2</v>
      </c>
      <c r="D41" s="22">
        <f>D21/C21-1</f>
        <v>0.30258221394403106</v>
      </c>
      <c r="E41" s="22"/>
      <c r="F41" s="22"/>
      <c r="G41" s="22"/>
      <c r="H41" s="22"/>
      <c r="I41" s="22"/>
    </row>
    <row r="42" spans="1:9">
      <c r="C42" s="22"/>
      <c r="D42" s="22"/>
    </row>
    <row r="43" spans="1:9">
      <c r="C43" s="22"/>
      <c r="D43" s="22"/>
    </row>
    <row r="44" spans="1:9">
      <c r="C44" s="22"/>
      <c r="D44" s="22"/>
    </row>
  </sheetData>
  <pageMargins left="0.7" right="0.7" top="0.75" bottom="0.75" header="0.3" footer="0.3"/>
  <ignoredErrors>
    <ignoredError sqref="E31:I31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H1" sqref="H1"/>
    </sheetView>
  </sheetViews>
  <sheetFormatPr baseColWidth="10" defaultColWidth="8.83203125" defaultRowHeight="14" x14ac:dyDescent="0"/>
  <cols>
    <col min="1" max="1" width="24.6640625" bestFit="1" customWidth="1"/>
    <col min="2" max="4" width="9.5" bestFit="1" customWidth="1"/>
  </cols>
  <sheetData>
    <row r="1" spans="1:9">
      <c r="B1" s="24">
        <v>2015</v>
      </c>
      <c r="C1" s="24">
        <v>2016</v>
      </c>
      <c r="D1" s="24">
        <v>2017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</row>
    <row r="2" spans="1:9">
      <c r="A2" s="10" t="s">
        <v>52</v>
      </c>
      <c r="B2" s="45">
        <v>92.69</v>
      </c>
      <c r="C2" s="45">
        <v>130.61000000000001</v>
      </c>
      <c r="D2" s="45">
        <v>130.61000000000001</v>
      </c>
    </row>
    <row r="3" spans="1:9">
      <c r="A3" s="10" t="s">
        <v>53</v>
      </c>
      <c r="B3" s="45">
        <v>296.85000000000002</v>
      </c>
      <c r="C3" s="45">
        <v>303.08999999999997</v>
      </c>
      <c r="D3" s="45">
        <v>304.3</v>
      </c>
    </row>
    <row r="4" spans="1:9">
      <c r="A4" s="10" t="s">
        <v>54</v>
      </c>
      <c r="B4" s="45">
        <v>40.049999999999997</v>
      </c>
      <c r="C4" s="45">
        <v>36.1</v>
      </c>
      <c r="D4" s="45">
        <v>38.46</v>
      </c>
    </row>
    <row r="5" spans="1:9">
      <c r="A5" s="44" t="s">
        <v>55</v>
      </c>
      <c r="B5" s="45">
        <v>928.56</v>
      </c>
      <c r="C5" s="45">
        <v>1515.39</v>
      </c>
      <c r="D5" s="45">
        <v>1472.4</v>
      </c>
    </row>
    <row r="6" spans="1:9">
      <c r="A6" s="44" t="s">
        <v>56</v>
      </c>
      <c r="B6" s="45">
        <v>3763.42</v>
      </c>
      <c r="C6" s="45">
        <v>5264.32</v>
      </c>
      <c r="D6" s="45">
        <v>4984.63</v>
      </c>
    </row>
    <row r="7" spans="1:9">
      <c r="A7" s="44" t="s">
        <v>57</v>
      </c>
      <c r="B7" s="45">
        <v>109.03</v>
      </c>
      <c r="C7" s="45">
        <v>181.92</v>
      </c>
      <c r="D7" s="45">
        <v>212.14</v>
      </c>
    </row>
    <row r="8" spans="1:9">
      <c r="A8" s="44" t="s">
        <v>58</v>
      </c>
      <c r="B8" s="45">
        <v>19.670000000000002</v>
      </c>
      <c r="C8" s="45">
        <v>18.72</v>
      </c>
      <c r="D8" s="45">
        <v>16.510000000000002</v>
      </c>
    </row>
    <row r="9" spans="1:9">
      <c r="A9" s="44" t="s">
        <v>59</v>
      </c>
      <c r="B9" s="45">
        <v>33.78</v>
      </c>
      <c r="C9" s="45">
        <v>41.91</v>
      </c>
      <c r="D9" s="45">
        <v>39.33</v>
      </c>
    </row>
    <row r="10" spans="1:9">
      <c r="A10" s="44" t="s">
        <v>60</v>
      </c>
      <c r="B10" s="45">
        <v>30.95</v>
      </c>
      <c r="C10" s="45">
        <v>32.42</v>
      </c>
      <c r="D10" s="45">
        <v>26.08</v>
      </c>
    </row>
    <row r="11" spans="1:9">
      <c r="B11" s="45"/>
      <c r="C11" s="45"/>
      <c r="D11" s="45"/>
    </row>
    <row r="12" spans="1:9">
      <c r="A12" s="10" t="s">
        <v>61</v>
      </c>
      <c r="B12" s="45">
        <v>0.25</v>
      </c>
      <c r="C12" s="45">
        <v>3.63</v>
      </c>
      <c r="D12" s="45">
        <v>1.63</v>
      </c>
    </row>
    <row r="13" spans="1:9">
      <c r="A13" s="10" t="s">
        <v>62</v>
      </c>
      <c r="B13" s="45">
        <v>15.57</v>
      </c>
      <c r="C13" s="45">
        <v>24.09</v>
      </c>
      <c r="D13" s="45">
        <v>38.4</v>
      </c>
    </row>
    <row r="14" spans="1:9">
      <c r="B14" s="45"/>
      <c r="C14" s="45"/>
      <c r="D14" s="45"/>
    </row>
    <row r="15" spans="1:9">
      <c r="B15" s="45"/>
      <c r="C15" s="45"/>
      <c r="D15" s="45"/>
    </row>
    <row r="16" spans="1:9">
      <c r="B16" s="45"/>
      <c r="C16" s="45"/>
      <c r="D16" s="45"/>
    </row>
    <row r="17" spans="1:4">
      <c r="A17" s="10" t="s">
        <v>52</v>
      </c>
      <c r="B17" s="45" t="s">
        <v>63</v>
      </c>
      <c r="C17" s="45" t="s">
        <v>63</v>
      </c>
      <c r="D17" s="45" t="s">
        <v>63</v>
      </c>
    </row>
    <row r="18" spans="1:4">
      <c r="A18" s="10" t="s">
        <v>53</v>
      </c>
      <c r="B18" s="45">
        <v>0.25</v>
      </c>
      <c r="C18" s="45">
        <v>0.24</v>
      </c>
      <c r="D18" s="45">
        <v>0.27</v>
      </c>
    </row>
    <row r="19" spans="1:4">
      <c r="A19" s="10" t="s">
        <v>54</v>
      </c>
      <c r="B19" s="45">
        <v>4.72</v>
      </c>
      <c r="C19" s="45">
        <v>0.28999999999999998</v>
      </c>
      <c r="D19" s="45">
        <v>0.51</v>
      </c>
    </row>
    <row r="20" spans="1:4">
      <c r="A20" s="44" t="s">
        <v>55</v>
      </c>
      <c r="B20" s="45">
        <v>75.12</v>
      </c>
      <c r="C20" s="45">
        <v>65.239999999999995</v>
      </c>
      <c r="D20" s="45">
        <v>77.91</v>
      </c>
    </row>
    <row r="21" spans="1:4">
      <c r="A21" s="44" t="s">
        <v>56</v>
      </c>
      <c r="B21" s="45">
        <v>527.11</v>
      </c>
      <c r="C21" s="45">
        <v>498.55</v>
      </c>
      <c r="D21" s="45">
        <v>514.24</v>
      </c>
    </row>
    <row r="22" spans="1:4">
      <c r="A22" s="44" t="s">
        <v>57</v>
      </c>
      <c r="B22" s="45">
        <v>13.23</v>
      </c>
      <c r="C22" s="45">
        <v>14.29</v>
      </c>
      <c r="D22" s="45">
        <v>20.059999999999999</v>
      </c>
    </row>
    <row r="23" spans="1:4">
      <c r="A23" s="44" t="s">
        <v>58</v>
      </c>
      <c r="B23" s="45">
        <v>5.96</v>
      </c>
      <c r="C23" s="45">
        <v>4.71</v>
      </c>
      <c r="D23" s="45">
        <v>4.5199999999999996</v>
      </c>
    </row>
    <row r="24" spans="1:4">
      <c r="A24" s="44" t="s">
        <v>59</v>
      </c>
      <c r="B24" s="45">
        <v>7.66</v>
      </c>
      <c r="C24" s="45">
        <v>8.7799999999999994</v>
      </c>
      <c r="D24" s="45">
        <v>9.2899999999999991</v>
      </c>
    </row>
    <row r="25" spans="1:4">
      <c r="A25" s="44" t="s">
        <v>60</v>
      </c>
      <c r="B25" s="45">
        <v>23.32</v>
      </c>
      <c r="C25" s="45">
        <v>14</v>
      </c>
      <c r="D25" s="45">
        <v>13.56</v>
      </c>
    </row>
    <row r="26" spans="1:4">
      <c r="B26" s="45"/>
      <c r="C26" s="45"/>
      <c r="D26" s="45"/>
    </row>
    <row r="27" spans="1:4">
      <c r="A27" s="10" t="s">
        <v>61</v>
      </c>
      <c r="B27" s="45">
        <v>0.56000000000000005</v>
      </c>
      <c r="C27" s="45">
        <v>0.36</v>
      </c>
      <c r="D27" s="45">
        <v>0.79</v>
      </c>
    </row>
    <row r="28" spans="1:4">
      <c r="A28" s="10" t="s">
        <v>62</v>
      </c>
      <c r="B28" s="45">
        <v>5.88</v>
      </c>
      <c r="C28" s="45">
        <v>2.89</v>
      </c>
      <c r="D28" s="45">
        <v>2.4700000000000002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 x14ac:dyDescent="0"/>
  <cols>
    <col min="1" max="1" width="14.5" bestFit="1" customWidth="1"/>
    <col min="2" max="2" width="10.6640625" bestFit="1" customWidth="1"/>
    <col min="3" max="3" width="9.33203125" bestFit="1" customWidth="1"/>
    <col min="4" max="9" width="9.5" bestFit="1" customWidth="1"/>
    <col min="11" max="11" width="17.83203125" bestFit="1" customWidth="1"/>
    <col min="12" max="13" width="10" bestFit="1" customWidth="1"/>
    <col min="14" max="14" width="10.1640625" bestFit="1" customWidth="1"/>
    <col min="15" max="15" width="11.33203125" bestFit="1" customWidth="1"/>
    <col min="16" max="19" width="10" bestFit="1" customWidth="1"/>
  </cols>
  <sheetData>
    <row r="1" spans="1:19">
      <c r="B1" s="24">
        <v>2015</v>
      </c>
      <c r="C1" s="24">
        <v>2016</v>
      </c>
      <c r="D1" s="24">
        <v>2017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L1" s="24">
        <v>2015</v>
      </c>
      <c r="M1" s="24">
        <v>2016</v>
      </c>
      <c r="N1" s="24">
        <v>2017</v>
      </c>
      <c r="O1" s="24" t="s">
        <v>15</v>
      </c>
      <c r="P1" s="24" t="s">
        <v>16</v>
      </c>
      <c r="Q1" s="24" t="s">
        <v>17</v>
      </c>
      <c r="R1" s="24" t="s">
        <v>18</v>
      </c>
      <c r="S1" s="24" t="s">
        <v>19</v>
      </c>
    </row>
    <row r="2" spans="1:19">
      <c r="A2" s="10" t="s">
        <v>76</v>
      </c>
      <c r="B2" s="45">
        <f>'Revenue Model'!B2</f>
        <v>11917</v>
      </c>
      <c r="C2" s="45">
        <f>'Revenue Model'!C2</f>
        <v>11112.2</v>
      </c>
      <c r="D2" s="45">
        <f>'Revenue Model'!D2</f>
        <v>13413.58</v>
      </c>
      <c r="E2" s="45">
        <f>'Revenue Model'!E2</f>
        <v>14440.822518987343</v>
      </c>
      <c r="F2" s="45">
        <f>'Revenue Model'!F2</f>
        <v>15537.255339873422</v>
      </c>
      <c r="G2" s="45">
        <f>'Revenue Model'!G2</f>
        <v>16707.229386550636</v>
      </c>
      <c r="H2" s="45">
        <f>'Revenue Model'!H2</f>
        <v>17955.35769954589</v>
      </c>
      <c r="I2" s="45">
        <f>'Revenue Model'!I2</f>
        <v>19286.530770374298</v>
      </c>
      <c r="K2" s="10" t="s">
        <v>133</v>
      </c>
    </row>
    <row r="3" spans="1:19">
      <c r="A3" s="36" t="s">
        <v>77</v>
      </c>
      <c r="C3" s="22"/>
      <c r="D3" s="22"/>
      <c r="E3" s="22"/>
      <c r="F3" s="22"/>
      <c r="G3" s="22"/>
      <c r="H3" s="22"/>
      <c r="I3" s="22"/>
      <c r="K3" s="10" t="s">
        <v>7</v>
      </c>
      <c r="L3" s="41"/>
      <c r="M3" s="41"/>
      <c r="N3" s="41">
        <v>188</v>
      </c>
      <c r="O3" s="41">
        <v>187.99</v>
      </c>
      <c r="P3" s="41">
        <v>187.99</v>
      </c>
      <c r="Q3" s="41">
        <v>187.99</v>
      </c>
      <c r="R3" s="41">
        <v>187.99</v>
      </c>
      <c r="S3" s="41">
        <v>187.99</v>
      </c>
    </row>
    <row r="4" spans="1:19">
      <c r="A4" t="str">
        <f>'Revenue Model'!A19</f>
        <v>Raw Materials</v>
      </c>
      <c r="B4" s="26">
        <f>'Revenue Model'!B19</f>
        <v>1848.12</v>
      </c>
      <c r="C4" s="26">
        <f>'Revenue Model'!C19</f>
        <v>1606.77</v>
      </c>
      <c r="D4" s="26">
        <f>'Revenue Model'!D19</f>
        <v>1965.9799999999998</v>
      </c>
      <c r="E4" s="26">
        <f>'Revenue Model'!E19</f>
        <v>2116.5392278481013</v>
      </c>
      <c r="F4" s="26">
        <f>'Revenue Model'!F19</f>
        <v>2277.239428481013</v>
      </c>
      <c r="G4" s="26">
        <f>'Revenue Model'!G19</f>
        <v>2448.7183011075949</v>
      </c>
      <c r="H4" s="26">
        <f>'Revenue Model'!H19</f>
        <v>2631.651962425633</v>
      </c>
      <c r="I4" s="26">
        <f>'Revenue Model'!I19</f>
        <v>2826.7571941227066</v>
      </c>
      <c r="K4" s="10" t="s">
        <v>134</v>
      </c>
      <c r="L4" s="26"/>
      <c r="M4" s="26"/>
      <c r="N4" s="26">
        <v>9167.86</v>
      </c>
      <c r="O4" s="27">
        <f>N4+E20</f>
        <v>9775.9350805378654</v>
      </c>
      <c r="P4" s="27">
        <f t="shared" ref="P4:S4" si="0">O4+F20</f>
        <v>10425.746844362358</v>
      </c>
      <c r="Q4" s="27">
        <f t="shared" si="0"/>
        <v>11114.379606760322</v>
      </c>
      <c r="R4" s="27">
        <f t="shared" si="0"/>
        <v>11838.819703585748</v>
      </c>
      <c r="S4" s="27">
        <f t="shared" si="0"/>
        <v>12595.892116580781</v>
      </c>
    </row>
    <row r="5" spans="1:19">
      <c r="A5" s="33" t="str">
        <f>'Revenue Model'!A20</f>
        <v>Power</v>
      </c>
      <c r="B5" s="26">
        <f>'Revenue Model'!B20</f>
        <v>2396.67</v>
      </c>
      <c r="C5" s="26">
        <f>'Revenue Model'!C20</f>
        <v>2159.91</v>
      </c>
      <c r="D5" s="26">
        <f>'Revenue Model'!D20</f>
        <v>2716.94</v>
      </c>
      <c r="E5" s="26">
        <f>'Revenue Model'!E20</f>
        <v>2925.0094556962026</v>
      </c>
      <c r="F5" s="26">
        <f>'Revenue Model'!F20</f>
        <v>3147.0935069620264</v>
      </c>
      <c r="G5" s="26">
        <f>'Revenue Model'!G20</f>
        <v>3384.0734397151905</v>
      </c>
      <c r="H5" s="26">
        <f>'Revenue Model'!H20</f>
        <v>3636.8836319762668</v>
      </c>
      <c r="I5" s="26">
        <f>'Revenue Model'!I20</f>
        <v>3906.5146598641636</v>
      </c>
      <c r="K5" s="44" t="s">
        <v>135</v>
      </c>
      <c r="M5" s="33"/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</row>
    <row r="6" spans="1:19">
      <c r="A6" s="33" t="str">
        <f>'Revenue Model'!A21</f>
        <v>Transport</v>
      </c>
      <c r="B6" s="26">
        <f>'Revenue Model'!B21</f>
        <v>2704.21</v>
      </c>
      <c r="C6" s="26">
        <f>'Revenue Model'!C21</f>
        <v>2636.11</v>
      </c>
      <c r="D6" s="26">
        <f>'Revenue Model'!D21</f>
        <v>3433.75</v>
      </c>
      <c r="E6" s="26">
        <f>'Revenue Model'!E21</f>
        <v>3913.3267365189877</v>
      </c>
      <c r="F6" s="26">
        <f>'Revenue Model'!F21</f>
        <v>4288.1359691392418</v>
      </c>
      <c r="G6" s="26">
        <f>'Revenue Model'!G21</f>
        <v>4694.5739209770582</v>
      </c>
      <c r="H6" s="26">
        <f>'Revenue Model'!H21</f>
        <v>5135.0629965124854</v>
      </c>
      <c r="I6" s="26">
        <f>'Revenue Model'!I21</f>
        <v>5612.1985966575257</v>
      </c>
      <c r="N6" s="27">
        <f t="shared" ref="N6:S6" si="1">SUM(N3:N5)</f>
        <v>9355.86</v>
      </c>
      <c r="O6" s="27">
        <f t="shared" si="1"/>
        <v>9963.9250805378651</v>
      </c>
      <c r="P6" s="27">
        <f t="shared" si="1"/>
        <v>10613.736844362358</v>
      </c>
      <c r="Q6" s="27">
        <f t="shared" si="1"/>
        <v>11302.369606760321</v>
      </c>
      <c r="R6" s="27">
        <f t="shared" si="1"/>
        <v>12026.809703585748</v>
      </c>
      <c r="S6" s="27">
        <f t="shared" si="1"/>
        <v>12783.88211658078</v>
      </c>
    </row>
    <row r="7" spans="1:19">
      <c r="A7" s="33" t="str">
        <f>'Revenue Model'!A22</f>
        <v>Salaries</v>
      </c>
      <c r="B7" s="26">
        <f>'Revenue Model'!B22</f>
        <v>772.16</v>
      </c>
      <c r="C7" s="26">
        <f>'Revenue Model'!C22</f>
        <v>756.72</v>
      </c>
      <c r="D7" s="26">
        <f>'Revenue Model'!D22</f>
        <v>821.36</v>
      </c>
      <c r="E7" s="26">
        <f>'Revenue Model'!E22</f>
        <v>884.26162025316466</v>
      </c>
      <c r="F7" s="26">
        <f>'Revenue Model'!F22</f>
        <v>951.40000253164578</v>
      </c>
      <c r="G7" s="26">
        <f>'Revenue Model'!G22</f>
        <v>1023.041568987342</v>
      </c>
      <c r="H7" s="26">
        <f>'Revenue Model'!H22</f>
        <v>1099.4687920822787</v>
      </c>
      <c r="I7" s="26">
        <f>'Revenue Model'!I22</f>
        <v>1180.9811335642412</v>
      </c>
      <c r="K7" s="10" t="s">
        <v>136</v>
      </c>
      <c r="N7" s="27"/>
    </row>
    <row r="8" spans="1:19">
      <c r="A8" s="33" t="str">
        <f>'Revenue Model'!A23</f>
        <v>Other exps</v>
      </c>
      <c r="B8" s="26">
        <f>'Revenue Model'!B23</f>
        <v>2547.89</v>
      </c>
      <c r="C8" s="26">
        <f>'Revenue Model'!C23</f>
        <v>2357.6799999999998</v>
      </c>
      <c r="D8" s="26">
        <f>'Revenue Model'!D23</f>
        <v>2440.8000000000002</v>
      </c>
      <c r="E8" s="26">
        <f>'Revenue Model'!E23</f>
        <v>2627.722025316456</v>
      </c>
      <c r="F8" s="26">
        <f>'Revenue Model'!F23</f>
        <v>2827.2342531645577</v>
      </c>
      <c r="G8" s="26">
        <f>'Revenue Model'!G23</f>
        <v>3040.1283987341781</v>
      </c>
      <c r="H8" s="26">
        <f>'Revenue Model'!H23</f>
        <v>3267.2438732278488</v>
      </c>
      <c r="I8" s="26">
        <f>'Revenue Model'!I23</f>
        <v>3509.4705741740527</v>
      </c>
      <c r="K8" s="10" t="s">
        <v>137</v>
      </c>
      <c r="L8" s="45"/>
      <c r="M8" s="45"/>
      <c r="N8" s="45">
        <f>'Asset schedule'!D6+'Asset schedule'!D14+'Asset schedule'!D22+'Asset schedule'!D30+'Asset schedule'!D38+'Asset schedule'!D46+'Asset schedule'!D54+'Asset schedule'!D62+'Asset schedule'!D70+'Asset schedule'!D78+'Asset schedule'!D86</f>
        <v>7264.49</v>
      </c>
      <c r="O8" s="45">
        <f>'Asset schedule'!E6+'Asset schedule'!E14+'Asset schedule'!E22+'Asset schedule'!E30+'Asset schedule'!E38+'Asset schedule'!E46+'Asset schedule'!E54+'Asset schedule'!E62+'Asset schedule'!E70+'Asset schedule'!E78+'Asset schedule'!E86</f>
        <v>7088.6930520206961</v>
      </c>
      <c r="P8" s="45">
        <f>'Asset schedule'!F6+'Asset schedule'!F14+'Asset schedule'!F22+'Asset schedule'!F30+'Asset schedule'!F38+'Asset schedule'!F46+'Asset schedule'!F54+'Asset schedule'!F62+'Asset schedule'!F70+'Asset schedule'!F78+'Asset schedule'!F86</f>
        <v>6960.3312559336882</v>
      </c>
      <c r="Q8" s="45">
        <f>'Asset schedule'!G6+'Asset schedule'!G14+'Asset schedule'!G22+'Asset schedule'!G30+'Asset schedule'!G38+'Asset schedule'!G46+'Asset schedule'!G54+'Asset schedule'!G62+'Asset schedule'!G70+'Asset schedule'!G78+'Asset schedule'!G86</f>
        <v>6876.9247510980722</v>
      </c>
      <c r="R8" s="45">
        <f>'Asset schedule'!H6+'Asset schedule'!H14+'Asset schedule'!H22+'Asset schedule'!H30+'Asset schedule'!H38+'Asset schedule'!H46+'Asset schedule'!H54+'Asset schedule'!H62+'Asset schedule'!H70+'Asset schedule'!H78+'Asset schedule'!H86</f>
        <v>6836.4570732713273</v>
      </c>
      <c r="S8" s="45">
        <f>'Asset schedule'!I6+'Asset schedule'!I14+'Asset schedule'!I22+'Asset schedule'!I30+'Asset schedule'!I38+'Asset schedule'!I46+'Asset schedule'!I54+'Asset schedule'!I62+'Asset schedule'!I70+'Asset schedule'!I78+'Asset schedule'!I86</f>
        <v>6837.3081178315488</v>
      </c>
    </row>
    <row r="9" spans="1:19">
      <c r="A9" s="36" t="str">
        <f>'Revenue Model'!A24</f>
        <v>Total expenses</v>
      </c>
      <c r="B9" s="37">
        <f>SUM(B4:B8)</f>
        <v>10269.049999999999</v>
      </c>
      <c r="C9" s="37">
        <f t="shared" ref="C9:I9" si="2">SUM(C4:C8)</f>
        <v>9517.19</v>
      </c>
      <c r="D9" s="37">
        <f t="shared" si="2"/>
        <v>11378.830000000002</v>
      </c>
      <c r="E9" s="37">
        <f t="shared" si="2"/>
        <v>12466.859065632912</v>
      </c>
      <c r="F9" s="37">
        <f t="shared" si="2"/>
        <v>13491.103160278484</v>
      </c>
      <c r="G9" s="37">
        <f t="shared" si="2"/>
        <v>14590.535629521364</v>
      </c>
      <c r="H9" s="37">
        <f t="shared" si="2"/>
        <v>15770.311256224511</v>
      </c>
      <c r="I9" s="37">
        <f t="shared" si="2"/>
        <v>17035.922158382687</v>
      </c>
      <c r="K9" s="10" t="s">
        <v>138</v>
      </c>
      <c r="N9" s="45">
        <f t="shared" ref="N9:S9" si="3">N34</f>
        <v>2559.11</v>
      </c>
      <c r="O9" s="45">
        <f t="shared" si="3"/>
        <v>3143.4217089637868</v>
      </c>
      <c r="P9" s="45">
        <f t="shared" si="3"/>
        <v>3888.8907180349038</v>
      </c>
      <c r="Q9" s="45">
        <f t="shared" si="3"/>
        <v>4626.1956351233366</v>
      </c>
      <c r="R9" s="45">
        <f t="shared" si="3"/>
        <v>5354.2230032712387</v>
      </c>
      <c r="S9" s="45">
        <f t="shared" si="3"/>
        <v>6071.2953486560837</v>
      </c>
    </row>
    <row r="10" spans="1:19">
      <c r="A10" s="10" t="s">
        <v>50</v>
      </c>
      <c r="B10" s="26">
        <f>B2-B9</f>
        <v>1647.9500000000007</v>
      </c>
      <c r="C10" s="26">
        <f t="shared" ref="C10:I10" si="4">C2-C9</f>
        <v>1595.0100000000002</v>
      </c>
      <c r="D10" s="26">
        <f t="shared" si="4"/>
        <v>2034.7499999999982</v>
      </c>
      <c r="E10" s="26">
        <f t="shared" si="4"/>
        <v>1973.9634533544304</v>
      </c>
      <c r="F10" s="26">
        <f t="shared" si="4"/>
        <v>2046.1521795949375</v>
      </c>
      <c r="G10" s="26">
        <f t="shared" si="4"/>
        <v>2116.6937570292721</v>
      </c>
      <c r="H10" s="26">
        <f t="shared" si="4"/>
        <v>2185.0464433213783</v>
      </c>
      <c r="I10" s="26">
        <f t="shared" si="4"/>
        <v>2250.6086119916108</v>
      </c>
      <c r="N10" s="27">
        <f t="shared" ref="N10:S10" si="5">SUM(N8:N9)</f>
        <v>9823.6</v>
      </c>
      <c r="O10" s="27">
        <f t="shared" si="5"/>
        <v>10232.114760984483</v>
      </c>
      <c r="P10" s="27">
        <f t="shared" si="5"/>
        <v>10849.221973968592</v>
      </c>
      <c r="Q10" s="27">
        <f t="shared" si="5"/>
        <v>11503.12038622141</v>
      </c>
      <c r="R10" s="27">
        <f t="shared" si="5"/>
        <v>12190.680076542565</v>
      </c>
      <c r="S10" s="27">
        <f t="shared" si="5"/>
        <v>12908.603466487632</v>
      </c>
    </row>
    <row r="11" spans="1:19">
      <c r="A11" s="10" t="s">
        <v>78</v>
      </c>
      <c r="B11">
        <v>663</v>
      </c>
      <c r="C11" s="41">
        <v>609.17999999999995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>643.61999999999989</v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>582.6373910172789</v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>566.09197646675409</v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>554.09829518371839</v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>546.32291368908591</v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>542.50725189191655</v>
      </c>
      <c r="N11" s="58">
        <f t="shared" ref="N11:S11" si="6">N6-N10</f>
        <v>-467.73999999999978</v>
      </c>
      <c r="O11" s="58">
        <f t="shared" si="6"/>
        <v>-268.18968044661779</v>
      </c>
      <c r="P11" s="58">
        <f t="shared" si="6"/>
        <v>-235.48512960623339</v>
      </c>
      <c r="Q11" s="58">
        <f t="shared" si="6"/>
        <v>-200.75077946108831</v>
      </c>
      <c r="R11" s="58">
        <f t="shared" si="6"/>
        <v>-163.87037295681694</v>
      </c>
      <c r="S11" s="58">
        <f t="shared" si="6"/>
        <v>-124.72134990685117</v>
      </c>
    </row>
    <row r="12" spans="1:19">
      <c r="A12" s="10" t="s">
        <v>79</v>
      </c>
      <c r="B12" s="26">
        <f>B10-B11</f>
        <v>984.95000000000073</v>
      </c>
      <c r="C12" s="26">
        <f t="shared" ref="C12:I12" si="7">C10-C11</f>
        <v>985.83000000000027</v>
      </c>
      <c r="D12" s="26">
        <f t="shared" si="7"/>
        <v>1391.1299999999983</v>
      </c>
      <c r="E12" s="26">
        <f t="shared" si="7"/>
        <v>1391.3260623371516</v>
      </c>
      <c r="F12" s="26">
        <f t="shared" si="7"/>
        <v>1480.0602031281833</v>
      </c>
      <c r="G12" s="26">
        <f t="shared" si="7"/>
        <v>1562.5954618455537</v>
      </c>
      <c r="H12" s="26">
        <f t="shared" si="7"/>
        <v>1638.7235296322924</v>
      </c>
      <c r="I12" s="26">
        <f t="shared" si="7"/>
        <v>1708.1013600996944</v>
      </c>
    </row>
    <row r="13" spans="1:19">
      <c r="A13" s="10" t="s">
        <v>127</v>
      </c>
      <c r="B13" s="41">
        <v>64.64</v>
      </c>
      <c r="C13" s="41">
        <v>78.67</v>
      </c>
      <c r="D13" s="41">
        <v>98.53</v>
      </c>
      <c r="E13" s="41">
        <f>D13</f>
        <v>98.53</v>
      </c>
      <c r="F13" s="41">
        <f t="shared" ref="F13:I13" si="8">E13</f>
        <v>98.53</v>
      </c>
      <c r="G13" s="41">
        <f t="shared" si="8"/>
        <v>98.53</v>
      </c>
      <c r="H13" s="41">
        <f t="shared" si="8"/>
        <v>98.53</v>
      </c>
      <c r="I13" s="41">
        <f t="shared" si="8"/>
        <v>98.53</v>
      </c>
      <c r="L13" s="24">
        <v>2015</v>
      </c>
      <c r="M13" s="24">
        <v>2016</v>
      </c>
      <c r="N13" s="24">
        <v>2017</v>
      </c>
      <c r="O13" s="24" t="s">
        <v>15</v>
      </c>
      <c r="P13" s="24" t="s">
        <v>16</v>
      </c>
      <c r="Q13" s="24" t="s">
        <v>17</v>
      </c>
      <c r="R13" s="24" t="s">
        <v>18</v>
      </c>
      <c r="S13" s="24" t="s">
        <v>19</v>
      </c>
    </row>
    <row r="14" spans="1:19">
      <c r="A14" s="10" t="s">
        <v>129</v>
      </c>
      <c r="B14" s="45">
        <f>B12-B13</f>
        <v>920.31000000000074</v>
      </c>
      <c r="C14" s="45">
        <f t="shared" ref="C14:I14" si="9">C12-C13</f>
        <v>907.16000000000031</v>
      </c>
      <c r="D14" s="45">
        <f t="shared" si="9"/>
        <v>1292.5999999999983</v>
      </c>
      <c r="E14" s="45">
        <f t="shared" si="9"/>
        <v>1292.7960623371516</v>
      </c>
      <c r="F14" s="45">
        <f t="shared" si="9"/>
        <v>1381.5302031281833</v>
      </c>
      <c r="G14" s="45">
        <f t="shared" si="9"/>
        <v>1464.0654618455537</v>
      </c>
      <c r="H14" s="45">
        <f t="shared" si="9"/>
        <v>1540.1935296322924</v>
      </c>
      <c r="I14" s="45">
        <f t="shared" si="9"/>
        <v>1609.5713600996944</v>
      </c>
      <c r="K14" s="10" t="s">
        <v>142</v>
      </c>
    </row>
    <row r="15" spans="1:19">
      <c r="A15" s="10" t="s">
        <v>130</v>
      </c>
      <c r="B15" s="41">
        <v>189.98000000000002</v>
      </c>
      <c r="C15" s="41">
        <v>226.89</v>
      </c>
      <c r="D15" s="41">
        <v>385.54999999999995</v>
      </c>
      <c r="E15" s="41">
        <f>E14*E16</f>
        <v>354.4750031481766</v>
      </c>
      <c r="F15" s="41">
        <f t="shared" ref="F15:I15" si="10">F14*F16</f>
        <v>378.80524033917504</v>
      </c>
      <c r="G15" s="41">
        <f t="shared" si="10"/>
        <v>401.43579046692253</v>
      </c>
      <c r="H15" s="41">
        <f t="shared" si="10"/>
        <v>422.30953680212076</v>
      </c>
      <c r="I15" s="41">
        <f t="shared" si="10"/>
        <v>441.33241859283925</v>
      </c>
      <c r="K15" s="10" t="s">
        <v>132</v>
      </c>
      <c r="L15" s="27"/>
      <c r="M15" s="27"/>
      <c r="N15" s="27"/>
      <c r="O15" s="27">
        <f t="shared" ref="O15:S15" si="11">E17</f>
        <v>938.32105918897503</v>
      </c>
      <c r="P15" s="27">
        <f t="shared" si="11"/>
        <v>1002.7249627890083</v>
      </c>
      <c r="Q15" s="27">
        <f t="shared" si="11"/>
        <v>1062.6296713786312</v>
      </c>
      <c r="R15" s="27">
        <f t="shared" si="11"/>
        <v>1117.8839928301718</v>
      </c>
      <c r="S15" s="27">
        <f t="shared" si="11"/>
        <v>1168.2389415068551</v>
      </c>
    </row>
    <row r="16" spans="1:19">
      <c r="A16" s="56" t="s">
        <v>131</v>
      </c>
      <c r="B16" s="57">
        <f t="shared" ref="B16:C16" si="12">B15/B14</f>
        <v>0.20643044191631066</v>
      </c>
      <c r="C16" s="57">
        <f t="shared" si="12"/>
        <v>0.25011023413730754</v>
      </c>
      <c r="D16" s="57">
        <f>D15/D14</f>
        <v>0.29827479498684856</v>
      </c>
      <c r="E16" s="57">
        <f>AVERAGE($C$16:$D$16)</f>
        <v>0.27419251456207805</v>
      </c>
      <c r="F16" s="57">
        <f t="shared" ref="F16:I16" si="13">AVERAGE($C$16:$D$16)</f>
        <v>0.27419251456207805</v>
      </c>
      <c r="G16" s="57">
        <f t="shared" si="13"/>
        <v>0.27419251456207805</v>
      </c>
      <c r="H16" s="57">
        <f t="shared" si="13"/>
        <v>0.27419251456207805</v>
      </c>
      <c r="I16" s="57">
        <f t="shared" si="13"/>
        <v>0.27419251456207805</v>
      </c>
      <c r="K16" s="10" t="s">
        <v>144</v>
      </c>
      <c r="M16" s="41"/>
      <c r="N16" s="41"/>
      <c r="O16" s="41">
        <f t="shared" ref="O16:S16" si="14">E11</f>
        <v>582.6373910172789</v>
      </c>
      <c r="P16" s="41">
        <f t="shared" si="14"/>
        <v>566.09197646675409</v>
      </c>
      <c r="Q16" s="41">
        <f t="shared" si="14"/>
        <v>554.09829518371839</v>
      </c>
      <c r="R16" s="41">
        <f t="shared" si="14"/>
        <v>546.32291368908591</v>
      </c>
      <c r="S16" s="41">
        <f t="shared" si="14"/>
        <v>542.50725189191655</v>
      </c>
    </row>
    <row r="17" spans="1:19">
      <c r="A17" s="10" t="s">
        <v>132</v>
      </c>
      <c r="B17" s="27">
        <f>B14-B15</f>
        <v>730.33000000000072</v>
      </c>
      <c r="C17" s="27">
        <f t="shared" ref="C17:I17" si="15">C14-C15</f>
        <v>680.27000000000032</v>
      </c>
      <c r="D17" s="27">
        <f t="shared" si="15"/>
        <v>907.04999999999836</v>
      </c>
      <c r="E17" s="27">
        <f t="shared" si="15"/>
        <v>938.32105918897503</v>
      </c>
      <c r="F17" s="27">
        <f t="shared" si="15"/>
        <v>1002.7249627890083</v>
      </c>
      <c r="G17" s="27">
        <f t="shared" si="15"/>
        <v>1062.6296713786312</v>
      </c>
      <c r="H17" s="27">
        <f t="shared" si="15"/>
        <v>1117.8839928301718</v>
      </c>
      <c r="I17" s="27">
        <f t="shared" si="15"/>
        <v>1168.2389415068551</v>
      </c>
      <c r="K17" s="44" t="s">
        <v>147</v>
      </c>
      <c r="L17" s="41"/>
      <c r="M17" s="41"/>
      <c r="N17" s="41"/>
      <c r="O17" s="41">
        <f t="shared" ref="O17:S17" si="16">E13</f>
        <v>98.53</v>
      </c>
      <c r="P17" s="41">
        <f t="shared" si="16"/>
        <v>98.53</v>
      </c>
      <c r="Q17" s="41">
        <f t="shared" si="16"/>
        <v>98.53</v>
      </c>
      <c r="R17" s="41">
        <f t="shared" si="16"/>
        <v>98.53</v>
      </c>
      <c r="S17" s="41">
        <f t="shared" si="16"/>
        <v>98.53</v>
      </c>
    </row>
    <row r="18" spans="1:19">
      <c r="B18" s="22"/>
      <c r="C18" s="22"/>
      <c r="D18" s="22"/>
      <c r="E18" s="22"/>
      <c r="F18" s="22"/>
      <c r="G18" s="22"/>
      <c r="H18" s="22"/>
      <c r="I18" s="22"/>
      <c r="K18" s="44" t="s">
        <v>154</v>
      </c>
      <c r="O18" s="41">
        <f>'Balance Sheet'!D18-'Balance Sheet'!E18</f>
        <v>-209.91230320942918</v>
      </c>
      <c r="P18" s="41">
        <f>'Balance Sheet'!E18-'Balance Sheet'!F18</f>
        <v>-135.34603614857133</v>
      </c>
      <c r="Q18" s="41">
        <f>'Balance Sheet'!F18-'Balance Sheet'!G18</f>
        <v>-145.48904053981573</v>
      </c>
      <c r="R18" s="41">
        <f>'Balance Sheet'!G18-'Balance Sheet'!H18</f>
        <v>-156.34023685653324</v>
      </c>
      <c r="S18" s="41">
        <f>'Balance Sheet'!H18-'Balance Sheet'!I18</f>
        <v>-167.94669960913097</v>
      </c>
    </row>
    <row r="19" spans="1:19">
      <c r="A19" s="10" t="s">
        <v>139</v>
      </c>
      <c r="B19" s="41">
        <v>561.66999999999996</v>
      </c>
      <c r="C19" s="41">
        <v>319.20999999999998</v>
      </c>
      <c r="D19" s="41">
        <v>319.24</v>
      </c>
      <c r="E19" s="27">
        <f>E17*E21</f>
        <v>330.24597865110957</v>
      </c>
      <c r="F19" s="27">
        <f t="shared" ref="F19:I19" si="17">F17*F21</f>
        <v>352.91319896451529</v>
      </c>
      <c r="G19" s="27">
        <f t="shared" si="17"/>
        <v>373.99690898066791</v>
      </c>
      <c r="H19" s="27">
        <f t="shared" si="17"/>
        <v>393.4438960047458</v>
      </c>
      <c r="I19" s="27">
        <f t="shared" si="17"/>
        <v>411.16652851182306</v>
      </c>
      <c r="K19" s="44" t="s">
        <v>155</v>
      </c>
      <c r="O19" s="41">
        <f>'Balance Sheet'!D21-'Balance Sheet'!E21</f>
        <v>-38.96189705790357</v>
      </c>
      <c r="P19" s="41">
        <f>'Balance Sheet'!E21-'Balance Sheet'!F21</f>
        <v>-53.522606998840956</v>
      </c>
      <c r="Q19" s="41">
        <f>'Balance Sheet'!F21-'Balance Sheet'!G21</f>
        <v>-57.112537956080018</v>
      </c>
      <c r="R19" s="41">
        <f>'Balance Sheet'!G21-'Balance Sheet'!H21</f>
        <v>-60.927655491546375</v>
      </c>
      <c r="S19" s="41">
        <f>'Balance Sheet'!H21-'Balance Sheet'!I21</f>
        <v>-64.981503435669197</v>
      </c>
    </row>
    <row r="20" spans="1:19">
      <c r="A20" s="10" t="s">
        <v>140</v>
      </c>
      <c r="B20" s="27">
        <f>B17-B19</f>
        <v>168.66000000000076</v>
      </c>
      <c r="C20" s="27">
        <f t="shared" ref="C20:I20" si="18">C17-C19</f>
        <v>361.06000000000034</v>
      </c>
      <c r="D20" s="27">
        <f t="shared" si="18"/>
        <v>587.80999999999835</v>
      </c>
      <c r="E20" s="27">
        <f t="shared" si="18"/>
        <v>608.07508053786546</v>
      </c>
      <c r="F20" s="27">
        <f t="shared" si="18"/>
        <v>649.81176382449303</v>
      </c>
      <c r="G20" s="27">
        <f t="shared" si="18"/>
        <v>688.63276239796323</v>
      </c>
      <c r="H20" s="27">
        <f t="shared" si="18"/>
        <v>724.44009682542605</v>
      </c>
      <c r="I20" s="27">
        <f t="shared" si="18"/>
        <v>757.07241299503198</v>
      </c>
      <c r="K20" s="44" t="s">
        <v>156</v>
      </c>
      <c r="O20" s="41">
        <f>'Balance Sheet'!E44-'Balance Sheet'!D44</f>
        <v>49.313880713950084</v>
      </c>
      <c r="P20" s="41">
        <f>'Balance Sheet'!F44-'Balance Sheet'!E44</f>
        <v>156.16409230702902</v>
      </c>
      <c r="Q20" s="41">
        <f>'Balance Sheet'!G44-'Balance Sheet'!F44</f>
        <v>167.86722835074806</v>
      </c>
      <c r="R20" s="41">
        <f>'Balance Sheet'!H44-'Balance Sheet'!G44</f>
        <v>180.38748584381165</v>
      </c>
      <c r="S20" s="41">
        <f>'Balance Sheet'!I44-'Balance Sheet'!H44</f>
        <v>193.77917999483316</v>
      </c>
    </row>
    <row r="21" spans="1:19">
      <c r="A21" s="10" t="s">
        <v>141</v>
      </c>
      <c r="B21" s="22">
        <f t="shared" ref="B21:C21" si="19">B19/B17</f>
        <v>0.76906330015198532</v>
      </c>
      <c r="C21" s="22">
        <f t="shared" si="19"/>
        <v>0.46924015464447916</v>
      </c>
      <c r="D21" s="22">
        <f>D19/D17</f>
        <v>0.35195413703765016</v>
      </c>
      <c r="E21" s="22">
        <f>D21</f>
        <v>0.35195413703765016</v>
      </c>
      <c r="F21" s="22">
        <f t="shared" ref="F21:I21" si="20">E21</f>
        <v>0.35195413703765016</v>
      </c>
      <c r="G21" s="22">
        <f t="shared" si="20"/>
        <v>0.35195413703765016</v>
      </c>
      <c r="H21" s="22">
        <f t="shared" si="20"/>
        <v>0.35195413703765016</v>
      </c>
      <c r="I21" s="22">
        <f t="shared" si="20"/>
        <v>0.35195413703765016</v>
      </c>
      <c r="K21" s="44"/>
      <c r="L21" s="27"/>
      <c r="M21" s="27"/>
      <c r="N21" s="27"/>
      <c r="O21" s="27">
        <f>SUM(O15:O20)</f>
        <v>1419.9281306528712</v>
      </c>
      <c r="P21" s="27">
        <f t="shared" ref="P21:S21" si="21">SUM(P15:P20)</f>
        <v>1634.6423884153792</v>
      </c>
      <c r="Q21" s="27">
        <f t="shared" si="21"/>
        <v>1680.523616417202</v>
      </c>
      <c r="R21" s="27">
        <f t="shared" si="21"/>
        <v>1725.8565000149897</v>
      </c>
      <c r="S21" s="27">
        <f t="shared" si="21"/>
        <v>1770.1271703488046</v>
      </c>
    </row>
    <row r="22" spans="1:19">
      <c r="K22" s="10" t="s">
        <v>143</v>
      </c>
    </row>
    <row r="23" spans="1:19">
      <c r="K23" s="10" t="s">
        <v>145</v>
      </c>
      <c r="N23" s="41"/>
      <c r="O23" s="41">
        <f>-'Asset schedule'!P2</f>
        <v>-406.84044303797475</v>
      </c>
      <c r="P23" s="41">
        <f>-'Asset schedule'!Q2</f>
        <v>-437.73018037974697</v>
      </c>
      <c r="Q23" s="41">
        <f>-'Asset schedule'!R2</f>
        <v>-470.69179034810139</v>
      </c>
      <c r="R23" s="41">
        <f>-'Asset schedule'!S2</f>
        <v>-505.85523586234189</v>
      </c>
      <c r="S23" s="41">
        <f>-'Asset schedule'!T2</f>
        <v>-543.35829645213641</v>
      </c>
    </row>
    <row r="24" spans="1:19">
      <c r="M24" s="33"/>
      <c r="N24" s="41"/>
      <c r="O24" s="41">
        <f t="shared" ref="O24:S24" si="22">SUM(O23)</f>
        <v>-406.84044303797475</v>
      </c>
      <c r="P24" s="41">
        <f t="shared" si="22"/>
        <v>-437.73018037974697</v>
      </c>
      <c r="Q24" s="41">
        <f t="shared" si="22"/>
        <v>-470.69179034810139</v>
      </c>
      <c r="R24" s="41">
        <f t="shared" si="22"/>
        <v>-505.85523586234189</v>
      </c>
      <c r="S24" s="41">
        <f t="shared" si="22"/>
        <v>-543.35829645213641</v>
      </c>
    </row>
    <row r="25" spans="1:19">
      <c r="K25" s="10" t="s">
        <v>146</v>
      </c>
    </row>
    <row r="26" spans="1:19">
      <c r="K26" s="10" t="s">
        <v>7</v>
      </c>
      <c r="M26" s="33"/>
      <c r="N26" s="33"/>
      <c r="O26" s="33">
        <v>0</v>
      </c>
      <c r="P26" s="33">
        <v>0</v>
      </c>
      <c r="Q26" s="33">
        <v>0</v>
      </c>
      <c r="R26" s="33">
        <v>0</v>
      </c>
      <c r="S26" s="33">
        <v>0</v>
      </c>
    </row>
    <row r="27" spans="1:19">
      <c r="K27" s="10" t="s">
        <v>135</v>
      </c>
      <c r="M27" s="33"/>
      <c r="N27" s="33"/>
      <c r="O27" s="33">
        <v>0</v>
      </c>
      <c r="P27" s="33">
        <v>0</v>
      </c>
      <c r="Q27" s="33">
        <v>0</v>
      </c>
      <c r="R27" s="33">
        <v>0</v>
      </c>
      <c r="S27" s="33">
        <v>0</v>
      </c>
    </row>
    <row r="28" spans="1:19">
      <c r="K28" s="10" t="s">
        <v>139</v>
      </c>
      <c r="L28" s="41"/>
      <c r="M28" s="41"/>
      <c r="N28" s="41"/>
      <c r="O28" s="41">
        <f>-E19</f>
        <v>-330.24597865110957</v>
      </c>
      <c r="P28" s="41">
        <f>-F19</f>
        <v>-352.91319896451529</v>
      </c>
      <c r="Q28" s="41">
        <f>-G19</f>
        <v>-373.99690898066791</v>
      </c>
      <c r="R28" s="41">
        <f>-H19</f>
        <v>-393.4438960047458</v>
      </c>
      <c r="S28" s="41">
        <f>-I19</f>
        <v>-411.16652851182306</v>
      </c>
    </row>
    <row r="29" spans="1:19">
      <c r="K29" s="10" t="s">
        <v>127</v>
      </c>
      <c r="L29" s="41"/>
      <c r="M29" s="41"/>
      <c r="N29" s="41"/>
      <c r="O29" s="41">
        <f>-E13</f>
        <v>-98.53</v>
      </c>
      <c r="P29" s="41">
        <f>-F13</f>
        <v>-98.53</v>
      </c>
      <c r="Q29" s="41">
        <f>-G13</f>
        <v>-98.53</v>
      </c>
      <c r="R29" s="41">
        <f>-H13</f>
        <v>-98.53</v>
      </c>
      <c r="S29" s="41">
        <f>-I13</f>
        <v>-98.53</v>
      </c>
    </row>
    <row r="30" spans="1:19">
      <c r="L30" s="41"/>
      <c r="M30" s="41"/>
      <c r="N30" s="41"/>
      <c r="O30" s="41">
        <f t="shared" ref="O30:S30" si="23">SUM(O26:O29)</f>
        <v>-428.77597865110954</v>
      </c>
      <c r="P30" s="41">
        <f t="shared" si="23"/>
        <v>-451.44319896451532</v>
      </c>
      <c r="Q30" s="41">
        <f t="shared" si="23"/>
        <v>-472.52690898066794</v>
      </c>
      <c r="R30" s="41">
        <f t="shared" si="23"/>
        <v>-491.97389600474582</v>
      </c>
      <c r="S30" s="41">
        <f t="shared" si="23"/>
        <v>-509.69652851182309</v>
      </c>
    </row>
    <row r="32" spans="1:19">
      <c r="K32" s="10" t="s">
        <v>148</v>
      </c>
      <c r="N32">
        <v>1810</v>
      </c>
      <c r="O32" s="41">
        <f t="shared" ref="O32:S32" si="24">N34</f>
        <v>2559.11</v>
      </c>
      <c r="P32" s="41">
        <f t="shared" si="24"/>
        <v>3143.4217089637868</v>
      </c>
      <c r="Q32" s="41">
        <f t="shared" si="24"/>
        <v>3888.8907180349038</v>
      </c>
      <c r="R32" s="41">
        <f t="shared" si="24"/>
        <v>4626.1956351233366</v>
      </c>
      <c r="S32" s="41">
        <f t="shared" si="24"/>
        <v>5354.2230032712387</v>
      </c>
    </row>
    <row r="33" spans="11:19">
      <c r="K33" s="10" t="s">
        <v>149</v>
      </c>
      <c r="N33" s="27">
        <v>749.11</v>
      </c>
      <c r="O33" s="27">
        <f t="shared" ref="O33:S33" si="25">O21+O24+O30</f>
        <v>584.31170896378694</v>
      </c>
      <c r="P33" s="27">
        <f t="shared" si="25"/>
        <v>745.46900907111683</v>
      </c>
      <c r="Q33" s="27">
        <f t="shared" si="25"/>
        <v>737.3049170884326</v>
      </c>
      <c r="R33" s="27">
        <f t="shared" si="25"/>
        <v>728.02736814790194</v>
      </c>
      <c r="S33" s="27">
        <f t="shared" si="25"/>
        <v>717.07234538484499</v>
      </c>
    </row>
    <row r="34" spans="11:19">
      <c r="K34" s="10" t="s">
        <v>150</v>
      </c>
      <c r="N34" s="41">
        <f>N32+N33</f>
        <v>2559.11</v>
      </c>
      <c r="O34" s="41">
        <f t="shared" ref="O34:S34" si="26">O32+O33</f>
        <v>3143.4217089637868</v>
      </c>
      <c r="P34" s="41">
        <f t="shared" si="26"/>
        <v>3888.8907180349038</v>
      </c>
      <c r="Q34" s="41">
        <f t="shared" si="26"/>
        <v>4626.1956351233366</v>
      </c>
      <c r="R34" s="41">
        <f t="shared" si="26"/>
        <v>5354.2230032712387</v>
      </c>
      <c r="S34" s="41">
        <f t="shared" si="26"/>
        <v>6071.2953486560837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 x14ac:dyDescent="0"/>
  <cols>
    <col min="1" max="1" width="28" bestFit="1" customWidth="1"/>
    <col min="5" max="5" width="9.6640625" bestFit="1" customWidth="1"/>
    <col min="6" max="9" width="9.5" bestFit="1" customWidth="1"/>
    <col min="12" max="12" width="25" bestFit="1" customWidth="1"/>
  </cols>
  <sheetData>
    <row r="1" spans="1:20">
      <c r="A1" s="36" t="s">
        <v>52</v>
      </c>
      <c r="B1" s="24">
        <v>2015</v>
      </c>
      <c r="C1" s="24">
        <v>2016</v>
      </c>
      <c r="D1" s="24">
        <v>2017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O1" s="24">
        <v>2017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</row>
    <row r="2" spans="1:20">
      <c r="A2" s="10" t="s">
        <v>64</v>
      </c>
      <c r="D2" s="33">
        <v>130.61000000000001</v>
      </c>
      <c r="E2" s="33">
        <f>D6</f>
        <v>130.61000000000001</v>
      </c>
      <c r="F2" s="33">
        <f t="shared" ref="F2:I2" si="0">E6</f>
        <v>130.61000000000001</v>
      </c>
      <c r="G2" s="33">
        <f t="shared" si="0"/>
        <v>130.61000000000001</v>
      </c>
      <c r="H2" s="33">
        <f t="shared" si="0"/>
        <v>130.61000000000001</v>
      </c>
      <c r="I2" s="33">
        <f t="shared" si="0"/>
        <v>130.61000000000001</v>
      </c>
      <c r="L2" s="10" t="s">
        <v>80</v>
      </c>
      <c r="O2">
        <f>SUM(O5:O15)</f>
        <v>377.90000000000003</v>
      </c>
      <c r="P2" s="48">
        <f>'Financial Statements'!E2*'Asset schedule'!P3</f>
        <v>406.84044303797475</v>
      </c>
      <c r="Q2" s="48">
        <f>'Financial Statements'!F2*'Asset schedule'!Q3</f>
        <v>437.73018037974697</v>
      </c>
      <c r="R2" s="48">
        <f>'Financial Statements'!G2*'Asset schedule'!R3</f>
        <v>470.69179034810139</v>
      </c>
      <c r="S2" s="48">
        <f>'Financial Statements'!H2*'Asset schedule'!S3</f>
        <v>505.85523586234189</v>
      </c>
      <c r="T2" s="48">
        <f>'Financial Statements'!I2*'Asset schedule'!T3</f>
        <v>543.35829645213641</v>
      </c>
    </row>
    <row r="3" spans="1:20">
      <c r="A3" s="10" t="s">
        <v>65</v>
      </c>
      <c r="D3">
        <v>0</v>
      </c>
      <c r="E3" s="48">
        <f>INDEX($L$4:$T$15,MATCH($A1,$L$4:$L$15,0),MATCH(E1,$L$4:$T$4,0))</f>
        <v>0</v>
      </c>
      <c r="F3" s="48">
        <f t="shared" ref="F3:I3" si="1">INDEX($L$4:$T$15,MATCH($A1,$L$4:$L$15,0),MATCH(F1,$L$4:$T$4,0))</f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L3" s="10" t="s">
        <v>81</v>
      </c>
      <c r="O3" s="49">
        <f>O2/'Financial Statements'!D2</f>
        <v>2.8172941153666659E-2</v>
      </c>
      <c r="P3" s="49">
        <f>O3</f>
        <v>2.8172941153666659E-2</v>
      </c>
      <c r="Q3" s="49">
        <f t="shared" ref="Q3:T3" si="2">P3</f>
        <v>2.8172941153666659E-2</v>
      </c>
      <c r="R3" s="49">
        <f t="shared" si="2"/>
        <v>2.8172941153666659E-2</v>
      </c>
      <c r="S3" s="49">
        <f t="shared" si="2"/>
        <v>2.8172941153666659E-2</v>
      </c>
      <c r="T3" s="49">
        <f t="shared" si="2"/>
        <v>2.8172941153666659E-2</v>
      </c>
    </row>
    <row r="4" spans="1:20">
      <c r="A4" s="10" t="s">
        <v>66</v>
      </c>
      <c r="D4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O4" s="24">
        <v>2017</v>
      </c>
      <c r="P4" s="24" t="s">
        <v>15</v>
      </c>
      <c r="Q4" s="24" t="s">
        <v>16</v>
      </c>
      <c r="R4" s="24" t="s">
        <v>17</v>
      </c>
      <c r="S4" s="24" t="s">
        <v>18</v>
      </c>
      <c r="T4" s="24" t="s">
        <v>19</v>
      </c>
    </row>
    <row r="5" spans="1:20">
      <c r="A5" s="10" t="s">
        <v>67</v>
      </c>
      <c r="D5">
        <v>0</v>
      </c>
      <c r="E5" s="41">
        <f>E2*$B7</f>
        <v>0</v>
      </c>
      <c r="F5" s="41">
        <f t="shared" ref="F5:I5" si="3">F2*$B$7</f>
        <v>0</v>
      </c>
      <c r="G5" s="41">
        <f t="shared" si="3"/>
        <v>0</v>
      </c>
      <c r="H5" s="41">
        <f t="shared" si="3"/>
        <v>0</v>
      </c>
      <c r="I5" s="41">
        <f t="shared" si="3"/>
        <v>0</v>
      </c>
      <c r="L5" s="36" t="s">
        <v>52</v>
      </c>
      <c r="N5" s="22">
        <f t="shared" ref="N5:N15" si="4">O5/$O$16</f>
        <v>0</v>
      </c>
      <c r="O5">
        <f>D3</f>
        <v>0</v>
      </c>
      <c r="P5">
        <f t="shared" ref="P5:T15" si="5">P$2*$N5</f>
        <v>0</v>
      </c>
      <c r="Q5" s="33">
        <f t="shared" si="5"/>
        <v>0</v>
      </c>
      <c r="R5" s="33">
        <f t="shared" si="5"/>
        <v>0</v>
      </c>
      <c r="S5" s="33">
        <f t="shared" si="5"/>
        <v>0</v>
      </c>
      <c r="T5" s="33">
        <f t="shared" si="5"/>
        <v>0</v>
      </c>
    </row>
    <row r="6" spans="1:20">
      <c r="A6" s="10" t="s">
        <v>68</v>
      </c>
      <c r="D6" s="33">
        <v>130.61000000000001</v>
      </c>
      <c r="E6" s="47">
        <f>E2+E3-E4-E5</f>
        <v>130.61000000000001</v>
      </c>
      <c r="F6" s="47">
        <f t="shared" ref="F6:I6" si="6">F2+F3-F4-F5</f>
        <v>130.61000000000001</v>
      </c>
      <c r="G6" s="47">
        <f t="shared" si="6"/>
        <v>130.61000000000001</v>
      </c>
      <c r="H6" s="47">
        <f t="shared" si="6"/>
        <v>130.61000000000001</v>
      </c>
      <c r="I6" s="47">
        <f t="shared" si="6"/>
        <v>130.61000000000001</v>
      </c>
      <c r="L6" s="36" t="s">
        <v>53</v>
      </c>
      <c r="N6" s="22">
        <f t="shared" si="4"/>
        <v>6.4567345858692771E-3</v>
      </c>
      <c r="O6">
        <f>D11</f>
        <v>2.44</v>
      </c>
      <c r="P6" s="47">
        <f t="shared" si="5"/>
        <v>2.6268607594936713</v>
      </c>
      <c r="Q6" s="47">
        <f t="shared" si="5"/>
        <v>2.8263075949367096</v>
      </c>
      <c r="R6" s="47">
        <f t="shared" si="5"/>
        <v>3.039131962025317</v>
      </c>
      <c r="S6" s="47">
        <f t="shared" si="5"/>
        <v>3.2661729968354436</v>
      </c>
      <c r="T6" s="47">
        <f t="shared" si="5"/>
        <v>3.5083203052215208</v>
      </c>
    </row>
    <row r="7" spans="1:20">
      <c r="A7" s="10" t="s">
        <v>75</v>
      </c>
      <c r="B7" s="22">
        <f>D5/(D2+D3-D4)</f>
        <v>0</v>
      </c>
      <c r="D7" s="33"/>
      <c r="L7" s="36" t="s">
        <v>54</v>
      </c>
      <c r="N7" s="22">
        <f t="shared" si="4"/>
        <v>7.5946017464937812E-3</v>
      </c>
      <c r="O7">
        <f>D19</f>
        <v>2.87</v>
      </c>
      <c r="P7" s="47">
        <f t="shared" si="5"/>
        <v>3.0897911392405066</v>
      </c>
      <c r="Q7" s="47">
        <f t="shared" si="5"/>
        <v>3.3243863924050641</v>
      </c>
      <c r="R7" s="47">
        <f t="shared" si="5"/>
        <v>3.5747166930379755</v>
      </c>
      <c r="S7" s="47">
        <f t="shared" si="5"/>
        <v>3.8417690577531651</v>
      </c>
      <c r="T7" s="47">
        <f t="shared" si="5"/>
        <v>4.1265898672072812</v>
      </c>
    </row>
    <row r="8" spans="1:20">
      <c r="L8" s="36" t="s">
        <v>55</v>
      </c>
      <c r="N8" s="22">
        <f t="shared" si="4"/>
        <v>9.4654670547763956E-2</v>
      </c>
      <c r="O8">
        <f>D27</f>
        <v>35.770000000000003</v>
      </c>
      <c r="P8" s="47">
        <f t="shared" si="5"/>
        <v>38.509348101265829</v>
      </c>
      <c r="Q8" s="47">
        <f t="shared" si="5"/>
        <v>41.433206012658239</v>
      </c>
      <c r="R8" s="47">
        <f t="shared" si="5"/>
        <v>44.553176344936716</v>
      </c>
      <c r="S8" s="47">
        <f t="shared" si="5"/>
        <v>47.881560695411402</v>
      </c>
      <c r="T8" s="47">
        <f t="shared" si="5"/>
        <v>51.43140054007123</v>
      </c>
    </row>
    <row r="9" spans="1:20">
      <c r="A9" s="36" t="s">
        <v>53</v>
      </c>
      <c r="B9" s="24">
        <v>2015</v>
      </c>
      <c r="C9" s="24">
        <v>2016</v>
      </c>
      <c r="D9" s="24">
        <v>2017</v>
      </c>
      <c r="E9" s="24" t="s">
        <v>15</v>
      </c>
      <c r="F9" s="24" t="s">
        <v>16</v>
      </c>
      <c r="G9" s="24" t="s">
        <v>17</v>
      </c>
      <c r="H9" s="24" t="s">
        <v>18</v>
      </c>
      <c r="I9" s="24" t="s">
        <v>19</v>
      </c>
      <c r="L9" s="36" t="s">
        <v>69</v>
      </c>
      <c r="N9" s="22">
        <f t="shared" si="4"/>
        <v>0.66806033342154003</v>
      </c>
      <c r="O9">
        <f>D35</f>
        <v>252.46</v>
      </c>
      <c r="P9" s="47">
        <f t="shared" si="5"/>
        <v>271.79396202531649</v>
      </c>
      <c r="Q9" s="47">
        <f t="shared" si="5"/>
        <v>292.43017025316465</v>
      </c>
      <c r="R9" s="47">
        <f t="shared" si="5"/>
        <v>314.45051439873424</v>
      </c>
      <c r="S9" s="47">
        <f t="shared" si="5"/>
        <v>337.94181753322789</v>
      </c>
      <c r="T9" s="47">
        <f t="shared" si="5"/>
        <v>362.99612469517422</v>
      </c>
    </row>
    <row r="10" spans="1:20">
      <c r="A10" s="10" t="s">
        <v>64</v>
      </c>
      <c r="D10" s="48">
        <v>303.08999999999997</v>
      </c>
      <c r="E10" s="33">
        <f>D14</f>
        <v>304.3</v>
      </c>
      <c r="F10" s="33">
        <f t="shared" ref="F10:I10" si="7">E14</f>
        <v>306.65710011333681</v>
      </c>
      <c r="G10" s="33">
        <f t="shared" si="7"/>
        <v>309.21155750296572</v>
      </c>
      <c r="H10" s="33">
        <f t="shared" si="7"/>
        <v>311.97657474415246</v>
      </c>
      <c r="I10" s="33">
        <f t="shared" si="7"/>
        <v>314.96618184421237</v>
      </c>
      <c r="L10" s="36" t="s">
        <v>70</v>
      </c>
      <c r="N10" s="22">
        <f t="shared" si="4"/>
        <v>0.13320984387404075</v>
      </c>
      <c r="O10">
        <f>D43</f>
        <v>50.34</v>
      </c>
      <c r="P10" s="47">
        <f t="shared" si="5"/>
        <v>54.195151898734188</v>
      </c>
      <c r="Q10" s="47">
        <f t="shared" si="5"/>
        <v>58.30996898734179</v>
      </c>
      <c r="R10" s="47">
        <f t="shared" si="5"/>
        <v>62.700779905063307</v>
      </c>
      <c r="S10" s="47">
        <f t="shared" si="5"/>
        <v>67.384896992088628</v>
      </c>
      <c r="T10" s="47">
        <f t="shared" si="5"/>
        <v>72.380673838053838</v>
      </c>
    </row>
    <row r="11" spans="1:20">
      <c r="A11" s="10" t="s">
        <v>65</v>
      </c>
      <c r="D11">
        <v>2.44</v>
      </c>
      <c r="E11" s="48">
        <f>INDEX($L$4:$T$15,MATCH($A9,$L$4:$L$15,0),MATCH(E9,$L$4:$T$4,0))</f>
        <v>2.6268607594936713</v>
      </c>
      <c r="F11" s="48">
        <f t="shared" ref="F11:I11" si="8">INDEX($L$4:$T$15,MATCH($A9,$L$4:$L$15,0),MATCH(F9,$L$4:$T$4,0))</f>
        <v>2.8263075949367096</v>
      </c>
      <c r="G11" s="48">
        <f t="shared" si="8"/>
        <v>3.039131962025317</v>
      </c>
      <c r="H11" s="48">
        <f t="shared" si="8"/>
        <v>3.2661729968354436</v>
      </c>
      <c r="I11" s="48">
        <f t="shared" si="8"/>
        <v>3.5083203052215208</v>
      </c>
      <c r="L11" s="36" t="s">
        <v>71</v>
      </c>
      <c r="N11" s="22">
        <f t="shared" si="4"/>
        <v>1.9317279703625297E-2</v>
      </c>
      <c r="O11">
        <f>D51</f>
        <v>7.3</v>
      </c>
      <c r="P11" s="47">
        <f t="shared" si="5"/>
        <v>7.8590506329113934</v>
      </c>
      <c r="Q11" s="47">
        <f t="shared" si="5"/>
        <v>8.4557563291139264</v>
      </c>
      <c r="R11" s="47">
        <f t="shared" si="5"/>
        <v>9.092484968354432</v>
      </c>
      <c r="S11" s="47">
        <f t="shared" si="5"/>
        <v>9.7717470806962048</v>
      </c>
      <c r="T11" s="47">
        <f t="shared" si="5"/>
        <v>10.496204191851271</v>
      </c>
    </row>
    <row r="12" spans="1:20">
      <c r="A12" s="10" t="s">
        <v>66</v>
      </c>
      <c r="D12">
        <v>0.96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L12" s="36" t="s">
        <v>72</v>
      </c>
      <c r="N12" s="22">
        <f t="shared" si="4"/>
        <v>9.2617094469436346E-4</v>
      </c>
      <c r="O12">
        <f>D59</f>
        <v>0.35</v>
      </c>
      <c r="P12" s="47">
        <f t="shared" si="5"/>
        <v>0.37680379746835446</v>
      </c>
      <c r="Q12" s="47">
        <f t="shared" si="5"/>
        <v>0.40541297468354437</v>
      </c>
      <c r="R12" s="47">
        <f t="shared" si="5"/>
        <v>0.43594106012658235</v>
      </c>
      <c r="S12" s="47">
        <f t="shared" si="5"/>
        <v>0.46850842167721524</v>
      </c>
      <c r="T12" s="47">
        <f t="shared" si="5"/>
        <v>0.50324266673259521</v>
      </c>
    </row>
    <row r="13" spans="1:20">
      <c r="A13" s="10" t="s">
        <v>67</v>
      </c>
      <c r="D13">
        <v>0.27</v>
      </c>
      <c r="E13" s="41">
        <f>E10*$B15</f>
        <v>0.26976064615687695</v>
      </c>
      <c r="F13" s="41">
        <f t="shared" ref="F13:I13" si="9">F10*$B15</f>
        <v>0.27185020530781412</v>
      </c>
      <c r="G13" s="41">
        <f t="shared" si="9"/>
        <v>0.27411472083856175</v>
      </c>
      <c r="H13" s="41">
        <f t="shared" si="9"/>
        <v>0.2765658967755234</v>
      </c>
      <c r="I13" s="41">
        <f t="shared" si="9"/>
        <v>0.27921617066006943</v>
      </c>
      <c r="L13" s="36" t="s">
        <v>73</v>
      </c>
      <c r="N13" s="22">
        <f t="shared" si="4"/>
        <v>4.4403281291346915E-2</v>
      </c>
      <c r="O13">
        <f>D67</f>
        <v>16.78</v>
      </c>
      <c r="P13" s="47">
        <f t="shared" si="5"/>
        <v>18.065050632911394</v>
      </c>
      <c r="Q13" s="47">
        <f t="shared" si="5"/>
        <v>19.43665632911393</v>
      </c>
      <c r="R13" s="47">
        <f t="shared" si="5"/>
        <v>20.900259968354433</v>
      </c>
      <c r="S13" s="47">
        <f t="shared" si="5"/>
        <v>22.461632330696208</v>
      </c>
      <c r="T13" s="47">
        <f t="shared" si="5"/>
        <v>24.12689127935128</v>
      </c>
    </row>
    <row r="14" spans="1:20">
      <c r="A14" s="10" t="s">
        <v>68</v>
      </c>
      <c r="D14">
        <v>304.3</v>
      </c>
      <c r="E14" s="47">
        <f>E10+E11-E12-E13</f>
        <v>306.65710011333681</v>
      </c>
      <c r="F14" s="47">
        <f t="shared" ref="F14" si="10">F10+F11-F12-F13</f>
        <v>309.21155750296572</v>
      </c>
      <c r="G14" s="47">
        <f t="shared" ref="G14" si="11">G10+G11-G12-G13</f>
        <v>311.97657474415246</v>
      </c>
      <c r="H14" s="47">
        <f t="shared" ref="H14" si="12">H10+H11-H12-H13</f>
        <v>314.96618184421237</v>
      </c>
      <c r="I14" s="47">
        <f t="shared" ref="I14" si="13">I10+I11-I12-I13</f>
        <v>318.19528597877382</v>
      </c>
      <c r="L14" s="36" t="s">
        <v>59</v>
      </c>
      <c r="N14" s="22">
        <f t="shared" si="4"/>
        <v>1.8549880920878538E-2</v>
      </c>
      <c r="O14">
        <f>D75</f>
        <v>7.01</v>
      </c>
      <c r="P14" s="47">
        <f t="shared" si="5"/>
        <v>7.5468417721518994</v>
      </c>
      <c r="Q14" s="47">
        <f t="shared" si="5"/>
        <v>8.1198427215189888</v>
      </c>
      <c r="R14" s="47">
        <f t="shared" si="5"/>
        <v>8.7312766613924069</v>
      </c>
      <c r="S14" s="47">
        <f t="shared" si="5"/>
        <v>9.3835543884493688</v>
      </c>
      <c r="T14" s="47">
        <f t="shared" si="5"/>
        <v>10.07923169655855</v>
      </c>
    </row>
    <row r="15" spans="1:20">
      <c r="A15" s="10" t="s">
        <v>75</v>
      </c>
      <c r="B15" s="22">
        <f>D13/(D10+D11-D12)</f>
        <v>8.8649571527070958E-4</v>
      </c>
      <c r="D15" s="33"/>
      <c r="L15" s="36" t="s">
        <v>74</v>
      </c>
      <c r="N15" s="22">
        <f t="shared" si="4"/>
        <v>6.8272029637470224E-3</v>
      </c>
      <c r="O15">
        <f>D83</f>
        <v>2.58</v>
      </c>
      <c r="P15" s="47">
        <f t="shared" si="5"/>
        <v>2.7775822784810127</v>
      </c>
      <c r="Q15" s="47">
        <f t="shared" si="5"/>
        <v>2.9884727848101273</v>
      </c>
      <c r="R15" s="47">
        <f t="shared" si="5"/>
        <v>3.2135083860759499</v>
      </c>
      <c r="S15" s="47">
        <f t="shared" si="5"/>
        <v>3.4535763655063296</v>
      </c>
      <c r="T15" s="47">
        <f t="shared" si="5"/>
        <v>3.7096173719145589</v>
      </c>
    </row>
    <row r="16" spans="1:20">
      <c r="O16">
        <f>SUM(O5:O15)</f>
        <v>377.90000000000003</v>
      </c>
      <c r="P16" s="48">
        <f t="shared" ref="P16:T16" si="14">SUM(P5:P15)</f>
        <v>406.84044303797475</v>
      </c>
      <c r="Q16" s="48">
        <f t="shared" si="14"/>
        <v>437.73018037974697</v>
      </c>
      <c r="R16" s="48">
        <f t="shared" si="14"/>
        <v>470.69179034810139</v>
      </c>
      <c r="S16" s="48">
        <f t="shared" si="14"/>
        <v>505.85523586234189</v>
      </c>
      <c r="T16" s="48">
        <f t="shared" si="14"/>
        <v>543.3582964521363</v>
      </c>
    </row>
    <row r="17" spans="1:9">
      <c r="A17" s="36" t="s">
        <v>54</v>
      </c>
      <c r="B17" s="24">
        <v>2015</v>
      </c>
      <c r="C17" s="24">
        <v>2016</v>
      </c>
      <c r="D17" s="24">
        <v>2017</v>
      </c>
      <c r="E17" s="24" t="s">
        <v>15</v>
      </c>
      <c r="F17" s="24" t="s">
        <v>16</v>
      </c>
      <c r="G17" s="24" t="s">
        <v>17</v>
      </c>
      <c r="H17" s="24" t="s">
        <v>18</v>
      </c>
      <c r="I17" s="24" t="s">
        <v>19</v>
      </c>
    </row>
    <row r="18" spans="1:9">
      <c r="A18" s="10" t="s">
        <v>64</v>
      </c>
      <c r="D18">
        <v>36.1</v>
      </c>
      <c r="E18" s="33">
        <f>D22</f>
        <v>38.46</v>
      </c>
      <c r="F18" s="33">
        <f t="shared" ref="F18:I18" si="15">E22</f>
        <v>41.046465504136577</v>
      </c>
      <c r="G18" s="33">
        <f t="shared" si="15"/>
        <v>43.833677213269652</v>
      </c>
      <c r="H18" s="33">
        <f t="shared" si="15"/>
        <v>46.834743011291785</v>
      </c>
      <c r="I18" s="33">
        <f t="shared" si="15"/>
        <v>50.063586255964147</v>
      </c>
    </row>
    <row r="19" spans="1:9">
      <c r="A19" s="10" t="s">
        <v>65</v>
      </c>
      <c r="D19">
        <v>2.87</v>
      </c>
      <c r="E19" s="48">
        <f>INDEX($L$4:$T$15,MATCH($A17,$L$4:$L$15,0),MATCH(E17,$L$4:$T$4,0))</f>
        <v>3.0897911392405066</v>
      </c>
      <c r="F19" s="48">
        <f t="shared" ref="F19:I19" si="16">INDEX($L$4:$T$15,MATCH($A17,$L$4:$L$15,0),MATCH(F17,$L$4:$T$4,0))</f>
        <v>3.3243863924050641</v>
      </c>
      <c r="G19" s="48">
        <f t="shared" si="16"/>
        <v>3.5747166930379755</v>
      </c>
      <c r="H19" s="48">
        <f t="shared" si="16"/>
        <v>3.8417690577531651</v>
      </c>
      <c r="I19" s="48">
        <f t="shared" si="16"/>
        <v>4.1265898672072812</v>
      </c>
    </row>
    <row r="20" spans="1:9">
      <c r="A20" s="10" t="s">
        <v>66</v>
      </c>
      <c r="D20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</row>
    <row r="21" spans="1:9">
      <c r="A21" s="10" t="s">
        <v>67</v>
      </c>
      <c r="D21">
        <v>0.51</v>
      </c>
      <c r="E21" s="48">
        <f>E18*$B23</f>
        <v>0.50332563510392614</v>
      </c>
      <c r="F21" s="48">
        <f t="shared" ref="F21:I21" si="17">F18*$B23</f>
        <v>0.53717468327199525</v>
      </c>
      <c r="G21" s="48">
        <f t="shared" si="17"/>
        <v>0.5736508950158461</v>
      </c>
      <c r="H21" s="48">
        <f t="shared" si="17"/>
        <v>0.61292581308080085</v>
      </c>
      <c r="I21" s="48">
        <f t="shared" si="17"/>
        <v>0.65518165231053926</v>
      </c>
    </row>
    <row r="22" spans="1:9">
      <c r="A22" s="10" t="s">
        <v>68</v>
      </c>
      <c r="D22">
        <v>38.46</v>
      </c>
      <c r="E22" s="47">
        <f>E18+E19-E20-E21</f>
        <v>41.046465504136577</v>
      </c>
      <c r="F22" s="47">
        <f t="shared" ref="F22" si="18">F18+F19-F20-F21</f>
        <v>43.833677213269652</v>
      </c>
      <c r="G22" s="47">
        <f t="shared" ref="G22" si="19">G18+G19-G20-G21</f>
        <v>46.834743011291785</v>
      </c>
      <c r="H22" s="47">
        <f t="shared" ref="H22" si="20">H18+H19-H20-H21</f>
        <v>50.063586255964147</v>
      </c>
      <c r="I22" s="47">
        <f t="shared" ref="I22" si="21">I18+I19-I20-I21</f>
        <v>53.534994470860887</v>
      </c>
    </row>
    <row r="23" spans="1:9">
      <c r="A23" s="10" t="s">
        <v>75</v>
      </c>
      <c r="B23" s="22">
        <f>D21/(D18+D19-D20)</f>
        <v>1.3086989992301771E-2</v>
      </c>
    </row>
    <row r="25" spans="1:9">
      <c r="A25" s="36" t="s">
        <v>55</v>
      </c>
      <c r="B25" s="24">
        <v>2015</v>
      </c>
      <c r="C25" s="24">
        <v>2016</v>
      </c>
      <c r="D25" s="24">
        <v>2017</v>
      </c>
      <c r="E25" s="24" t="s">
        <v>15</v>
      </c>
      <c r="F25" s="24" t="s">
        <v>16</v>
      </c>
      <c r="G25" s="24" t="s">
        <v>17</v>
      </c>
      <c r="H25" s="24" t="s">
        <v>18</v>
      </c>
      <c r="I25" s="24" t="s">
        <v>19</v>
      </c>
    </row>
    <row r="26" spans="1:9">
      <c r="A26" s="10" t="s">
        <v>64</v>
      </c>
      <c r="D26">
        <v>1515.39</v>
      </c>
      <c r="E26" s="33">
        <f>D30</f>
        <v>1472.4</v>
      </c>
      <c r="F26" s="33">
        <f t="shared" ref="F26:I26" si="22">E30</f>
        <v>1436.9013069665782</v>
      </c>
      <c r="G26" s="33">
        <f t="shared" si="22"/>
        <v>1406.1107619384397</v>
      </c>
      <c r="H26" s="33">
        <f t="shared" si="22"/>
        <v>1379.9878291354091</v>
      </c>
      <c r="I26" s="33">
        <f t="shared" si="22"/>
        <v>1358.5063118465625</v>
      </c>
    </row>
    <row r="27" spans="1:9">
      <c r="A27" s="10" t="s">
        <v>65</v>
      </c>
      <c r="D27">
        <v>35.770000000000003</v>
      </c>
      <c r="E27" s="48">
        <f>INDEX($L$4:$T$15,MATCH($A25,$L$4:$L$15,0),MATCH(E25,$L$4:$T$4,0))</f>
        <v>38.509348101265829</v>
      </c>
      <c r="F27" s="48">
        <f t="shared" ref="F27:I27" si="23">INDEX($L$4:$T$15,MATCH($A25,$L$4:$L$15,0),MATCH(F25,$L$4:$T$4,0))</f>
        <v>41.433206012658239</v>
      </c>
      <c r="G27" s="48">
        <f t="shared" si="23"/>
        <v>44.553176344936716</v>
      </c>
      <c r="H27" s="48">
        <f t="shared" si="23"/>
        <v>47.881560695411402</v>
      </c>
      <c r="I27" s="48">
        <f t="shared" si="23"/>
        <v>51.43140054007123</v>
      </c>
    </row>
    <row r="28" spans="1:9">
      <c r="A28" s="10" t="s">
        <v>66</v>
      </c>
      <c r="D28">
        <v>1.1299999999999999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</row>
    <row r="29" spans="1:9">
      <c r="A29" s="10" t="s">
        <v>67</v>
      </c>
      <c r="D29">
        <v>77.91</v>
      </c>
      <c r="E29" s="48">
        <f>E26*$B31</f>
        <v>74.008041134687716</v>
      </c>
      <c r="F29" s="48">
        <f t="shared" ref="F29:I29" si="24">F26*$B31</f>
        <v>72.223751040796699</v>
      </c>
      <c r="G29" s="48">
        <f t="shared" si="24"/>
        <v>70.676109147967352</v>
      </c>
      <c r="H29" s="48">
        <f t="shared" si="24"/>
        <v>69.363077984258197</v>
      </c>
      <c r="I29" s="48">
        <f t="shared" si="24"/>
        <v>68.283340810155735</v>
      </c>
    </row>
    <row r="30" spans="1:9">
      <c r="A30" s="10" t="s">
        <v>68</v>
      </c>
      <c r="D30">
        <v>1472.4</v>
      </c>
      <c r="E30" s="47">
        <f>E26+E27-E28-E29</f>
        <v>1436.9013069665782</v>
      </c>
      <c r="F30" s="47">
        <f t="shared" ref="F30" si="25">F26+F27-F28-F29</f>
        <v>1406.1107619384397</v>
      </c>
      <c r="G30" s="47">
        <f t="shared" ref="G30" si="26">G26+G27-G28-G29</f>
        <v>1379.9878291354091</v>
      </c>
      <c r="H30" s="47">
        <f t="shared" ref="H30" si="27">H26+H27-H28-H29</f>
        <v>1358.5063118465625</v>
      </c>
      <c r="I30" s="47">
        <f t="shared" ref="I30" si="28">I26+I27-I28-I29</f>
        <v>1341.6543715764781</v>
      </c>
    </row>
    <row r="31" spans="1:9">
      <c r="A31" s="10" t="s">
        <v>75</v>
      </c>
      <c r="B31" s="22">
        <f>D29/(D26+D27-D28)</f>
        <v>5.0263543286258976E-2</v>
      </c>
    </row>
    <row r="33" spans="1:9">
      <c r="A33" s="36" t="s">
        <v>69</v>
      </c>
      <c r="B33" s="24">
        <v>2015</v>
      </c>
      <c r="C33" s="24">
        <v>2016</v>
      </c>
      <c r="D33" s="24">
        <v>2017</v>
      </c>
      <c r="E33" s="24" t="s">
        <v>15</v>
      </c>
      <c r="F33" s="24" t="s">
        <v>16</v>
      </c>
      <c r="G33" s="24" t="s">
        <v>17</v>
      </c>
      <c r="H33" s="24" t="s">
        <v>18</v>
      </c>
      <c r="I33" s="24" t="s">
        <v>19</v>
      </c>
    </row>
    <row r="34" spans="1:9">
      <c r="A34" s="10" t="s">
        <v>64</v>
      </c>
      <c r="B34" s="33"/>
      <c r="C34" s="33"/>
      <c r="D34" s="33">
        <v>5264.32</v>
      </c>
      <c r="E34" s="33">
        <f>D38</f>
        <v>4984.63</v>
      </c>
      <c r="F34" s="33">
        <f t="shared" ref="F34:I34" si="29">E38</f>
        <v>4789.8764278709932</v>
      </c>
      <c r="G34" s="33">
        <f t="shared" si="29"/>
        <v>4633.9874578214412</v>
      </c>
      <c r="H34" s="33">
        <f t="shared" si="29"/>
        <v>4514.7096068753744</v>
      </c>
      <c r="I34" s="33">
        <f t="shared" si="29"/>
        <v>4430.0871348804849</v>
      </c>
    </row>
    <row r="35" spans="1:9">
      <c r="A35" s="10" t="s">
        <v>65</v>
      </c>
      <c r="B35" s="33"/>
      <c r="C35" s="33"/>
      <c r="D35" s="46">
        <v>252.46</v>
      </c>
      <c r="E35" s="48">
        <f>INDEX($L$4:$T$15,MATCH($A33,$L$4:$L$15,0),MATCH(E33,$L$4:$T$4,0))</f>
        <v>271.79396202531649</v>
      </c>
      <c r="F35" s="48">
        <f t="shared" ref="F35:I35" si="30">INDEX($L$4:$T$15,MATCH($A33,$L$4:$L$15,0),MATCH(F33,$L$4:$T$4,0))</f>
        <v>292.43017025316465</v>
      </c>
      <c r="G35" s="48">
        <f t="shared" si="30"/>
        <v>314.45051439873424</v>
      </c>
      <c r="H35" s="48">
        <f t="shared" si="30"/>
        <v>337.94181753322789</v>
      </c>
      <c r="I35" s="48">
        <f t="shared" si="30"/>
        <v>362.99612469517422</v>
      </c>
    </row>
    <row r="36" spans="1:9">
      <c r="A36" s="10" t="s">
        <v>66</v>
      </c>
      <c r="B36" s="33"/>
      <c r="C36" s="33"/>
      <c r="D36" s="46">
        <v>22.6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</row>
    <row r="37" spans="1:9">
      <c r="A37" s="10" t="s">
        <v>67</v>
      </c>
      <c r="B37" s="33"/>
      <c r="C37" s="33"/>
      <c r="D37" s="46">
        <v>514.24</v>
      </c>
      <c r="E37" s="48">
        <f>E34*$B39</f>
        <v>466.54753415432333</v>
      </c>
      <c r="F37" s="48">
        <f t="shared" ref="F37:I37" si="31">F34*$B39</f>
        <v>448.31914030271662</v>
      </c>
      <c r="G37" s="48">
        <f t="shared" si="31"/>
        <v>433.72836534480086</v>
      </c>
      <c r="H37" s="48">
        <f t="shared" si="31"/>
        <v>422.56428952811751</v>
      </c>
      <c r="I37" s="48">
        <f t="shared" si="31"/>
        <v>414.643861002177</v>
      </c>
    </row>
    <row r="38" spans="1:9">
      <c r="A38" s="10" t="s">
        <v>68</v>
      </c>
      <c r="B38" s="33"/>
      <c r="C38" s="33"/>
      <c r="D38" s="46">
        <v>4984.63</v>
      </c>
      <c r="E38" s="47">
        <f>E34+E35-E36-E37</f>
        <v>4789.8764278709932</v>
      </c>
      <c r="F38" s="47">
        <f t="shared" ref="F38" si="32">F34+F35-F36-F37</f>
        <v>4633.9874578214412</v>
      </c>
      <c r="G38" s="47">
        <f t="shared" ref="G38" si="33">G34+G35-G36-G37</f>
        <v>4514.7096068753744</v>
      </c>
      <c r="H38" s="47">
        <f t="shared" ref="H38" si="34">H34+H35-H36-H37</f>
        <v>4430.0871348804849</v>
      </c>
      <c r="I38" s="47">
        <f t="shared" ref="I38" si="35">I34+I35-I36-I37</f>
        <v>4378.4393985734823</v>
      </c>
    </row>
    <row r="39" spans="1:9">
      <c r="A39" s="10" t="s">
        <v>75</v>
      </c>
      <c r="B39" s="22">
        <f>D37/(D34+D35-D36)</f>
        <v>9.3597224699591211E-2</v>
      </c>
    </row>
    <row r="41" spans="1:9">
      <c r="A41" s="36" t="s">
        <v>70</v>
      </c>
      <c r="B41" s="24">
        <v>2015</v>
      </c>
      <c r="C41" s="24">
        <v>2016</v>
      </c>
      <c r="D41" s="24">
        <v>2017</v>
      </c>
      <c r="E41" s="24" t="s">
        <v>15</v>
      </c>
      <c r="F41" s="24" t="s">
        <v>16</v>
      </c>
      <c r="G41" s="24" t="s">
        <v>17</v>
      </c>
      <c r="H41" s="24" t="s">
        <v>18</v>
      </c>
      <c r="I41" s="24" t="s">
        <v>19</v>
      </c>
    </row>
    <row r="42" spans="1:9">
      <c r="A42" s="10" t="s">
        <v>64</v>
      </c>
      <c r="B42" s="33"/>
      <c r="C42" s="33"/>
      <c r="D42" s="33">
        <v>181.92</v>
      </c>
      <c r="E42" s="33">
        <f>D46</f>
        <v>212.14</v>
      </c>
      <c r="F42" s="33">
        <f t="shared" ref="F42:I42" si="36">E46</f>
        <v>248.0073668950734</v>
      </c>
      <c r="G42" s="33">
        <f t="shared" si="36"/>
        <v>284.89079821965981</v>
      </c>
      <c r="H42" s="33">
        <f t="shared" si="36"/>
        <v>322.9785051573844</v>
      </c>
      <c r="I42" s="33">
        <f t="shared" si="36"/>
        <v>362.45975077147597</v>
      </c>
    </row>
    <row r="43" spans="1:9">
      <c r="A43" s="10" t="s">
        <v>65</v>
      </c>
      <c r="B43" s="33"/>
      <c r="C43" s="33"/>
      <c r="D43" s="46">
        <v>50.34</v>
      </c>
      <c r="E43" s="48">
        <f>INDEX($L$4:$T$15,MATCH($A41,$L$4:$L$15,0),MATCH(E41,$L$4:$T$4,0))</f>
        <v>54.195151898734188</v>
      </c>
      <c r="F43" s="48">
        <f t="shared" ref="F43:I43" si="37">INDEX($L$4:$T$15,MATCH($A41,$L$4:$L$15,0),MATCH(F41,$L$4:$T$4,0))</f>
        <v>58.30996898734179</v>
      </c>
      <c r="G43" s="48">
        <f t="shared" si="37"/>
        <v>62.700779905063307</v>
      </c>
      <c r="H43" s="48">
        <f t="shared" si="37"/>
        <v>67.384896992088628</v>
      </c>
      <c r="I43" s="48">
        <f t="shared" si="37"/>
        <v>72.380673838053838</v>
      </c>
    </row>
    <row r="44" spans="1:9">
      <c r="A44" s="10" t="s">
        <v>66</v>
      </c>
      <c r="B44" s="33"/>
      <c r="C44" s="33"/>
      <c r="D44" s="46">
        <v>7.0000000000000007E-2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</row>
    <row r="45" spans="1:9">
      <c r="A45" s="10" t="s">
        <v>67</v>
      </c>
      <c r="B45" s="33"/>
      <c r="C45" s="33"/>
      <c r="D45" s="46">
        <v>20.059999999999999</v>
      </c>
      <c r="E45" s="48">
        <f>E42*$B47</f>
        <v>18.327785003660793</v>
      </c>
      <c r="F45" s="48">
        <f t="shared" ref="F45:I45" si="38">F42*$B47</f>
        <v>21.426537662755383</v>
      </c>
      <c r="G45" s="48">
        <f t="shared" si="38"/>
        <v>24.613072967338713</v>
      </c>
      <c r="H45" s="48">
        <f t="shared" si="38"/>
        <v>27.903651377997033</v>
      </c>
      <c r="I45" s="48">
        <f t="shared" si="38"/>
        <v>31.314624232205556</v>
      </c>
    </row>
    <row r="46" spans="1:9">
      <c r="A46" s="10" t="s">
        <v>68</v>
      </c>
      <c r="B46" s="33"/>
      <c r="C46" s="33"/>
      <c r="D46" s="46">
        <v>212.14</v>
      </c>
      <c r="E46" s="47">
        <f>E42+E43-E44-E45</f>
        <v>248.0073668950734</v>
      </c>
      <c r="F46" s="47">
        <f t="shared" ref="F46" si="39">F42+F43-F44-F45</f>
        <v>284.89079821965981</v>
      </c>
      <c r="G46" s="47">
        <f t="shared" ref="G46" si="40">G42+G43-G44-G45</f>
        <v>322.9785051573844</v>
      </c>
      <c r="H46" s="47">
        <f t="shared" ref="H46" si="41">H42+H43-H44-H45</f>
        <v>362.45975077147597</v>
      </c>
      <c r="I46" s="47">
        <f t="shared" ref="I46" si="42">I42+I43-I44-I45</f>
        <v>403.52580037732423</v>
      </c>
    </row>
    <row r="47" spans="1:9">
      <c r="A47" s="10" t="s">
        <v>75</v>
      </c>
      <c r="B47" s="22">
        <f>D45/(D42+D43-D44)</f>
        <v>8.6394762909686035E-2</v>
      </c>
    </row>
    <row r="49" spans="1:9">
      <c r="A49" s="36" t="s">
        <v>71</v>
      </c>
      <c r="B49" s="24">
        <v>2015</v>
      </c>
      <c r="C49" s="24">
        <v>2016</v>
      </c>
      <c r="D49" s="24">
        <v>2017</v>
      </c>
      <c r="E49" s="24" t="s">
        <v>15</v>
      </c>
      <c r="F49" s="24" t="s">
        <v>16</v>
      </c>
      <c r="G49" s="24" t="s">
        <v>17</v>
      </c>
      <c r="H49" s="24" t="s">
        <v>18</v>
      </c>
      <c r="I49" s="24" t="s">
        <v>19</v>
      </c>
    </row>
    <row r="50" spans="1:9">
      <c r="A50" s="10" t="s">
        <v>64</v>
      </c>
      <c r="B50" s="33"/>
      <c r="C50" s="33"/>
      <c r="D50" s="33">
        <v>32.42</v>
      </c>
      <c r="E50" s="33">
        <f>D54</f>
        <v>26.08</v>
      </c>
      <c r="F50" s="33">
        <f t="shared" ref="F50:I50" si="43">E54</f>
        <v>24.933580808618036</v>
      </c>
      <c r="G50" s="33">
        <f t="shared" si="43"/>
        <v>24.779727874557516</v>
      </c>
      <c r="H50" s="33">
        <f t="shared" si="43"/>
        <v>25.315729268198428</v>
      </c>
      <c r="I50" s="33">
        <f t="shared" si="43"/>
        <v>26.345910551166831</v>
      </c>
    </row>
    <row r="51" spans="1:9">
      <c r="A51" s="10" t="s">
        <v>65</v>
      </c>
      <c r="B51" s="33"/>
      <c r="C51" s="33"/>
      <c r="D51" s="46">
        <v>7.3</v>
      </c>
      <c r="E51" s="48">
        <f>INDEX($L$4:$T$15,MATCH($A49,$L$4:$L$15,0),MATCH(E49,$L$4:$T$4,0))</f>
        <v>7.8590506329113934</v>
      </c>
      <c r="F51" s="48">
        <f t="shared" ref="F51:I51" si="44">INDEX($L$4:$T$15,MATCH($A49,$L$4:$L$15,0),MATCH(F49,$L$4:$T$4,0))</f>
        <v>8.4557563291139264</v>
      </c>
      <c r="G51" s="48">
        <f t="shared" si="44"/>
        <v>9.092484968354432</v>
      </c>
      <c r="H51" s="48">
        <f t="shared" si="44"/>
        <v>9.7717470806962048</v>
      </c>
      <c r="I51" s="48">
        <f t="shared" si="44"/>
        <v>10.496204191851271</v>
      </c>
    </row>
    <row r="52" spans="1:9">
      <c r="A52" s="10" t="s">
        <v>66</v>
      </c>
      <c r="B52" s="33"/>
      <c r="C52" s="33"/>
      <c r="D52" s="46">
        <v>0.45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</row>
    <row r="53" spans="1:9">
      <c r="A53" s="10" t="s">
        <v>67</v>
      </c>
      <c r="B53" s="33"/>
      <c r="C53" s="33"/>
      <c r="D53" s="46">
        <v>13.56</v>
      </c>
      <c r="E53" s="48">
        <f>E50*$B55</f>
        <v>9.0054698242933533</v>
      </c>
      <c r="F53" s="48">
        <f t="shared" ref="F53:I53" si="45">F50*$B55</f>
        <v>8.6096092631744483</v>
      </c>
      <c r="G53" s="48">
        <f t="shared" si="45"/>
        <v>8.5564835747135213</v>
      </c>
      <c r="H53" s="48">
        <f t="shared" si="45"/>
        <v>8.7415657977277998</v>
      </c>
      <c r="I53" s="48">
        <f t="shared" si="45"/>
        <v>9.097289204833773</v>
      </c>
    </row>
    <row r="54" spans="1:9">
      <c r="A54" s="10" t="s">
        <v>68</v>
      </c>
      <c r="B54" s="33"/>
      <c r="C54" s="33"/>
      <c r="D54" s="46">
        <v>26.08</v>
      </c>
      <c r="E54" s="47">
        <f>E50+E51-E52-E53</f>
        <v>24.933580808618036</v>
      </c>
      <c r="F54" s="47">
        <f t="shared" ref="F54" si="46">F50+F51-F52-F53</f>
        <v>24.779727874557516</v>
      </c>
      <c r="G54" s="47">
        <f t="shared" ref="G54" si="47">G50+G51-G52-G53</f>
        <v>25.315729268198428</v>
      </c>
      <c r="H54" s="47">
        <f t="shared" ref="H54" si="48">H50+H51-H52-H53</f>
        <v>26.345910551166831</v>
      </c>
      <c r="I54" s="47">
        <f t="shared" ref="I54" si="49">I50+I51-I52-I53</f>
        <v>27.74482553818433</v>
      </c>
    </row>
    <row r="55" spans="1:9">
      <c r="A55" s="10" t="s">
        <v>75</v>
      </c>
      <c r="B55" s="22">
        <f>D53/(D50+D51-D52)</f>
        <v>0.34530175706646299</v>
      </c>
    </row>
    <row r="57" spans="1:9">
      <c r="A57" s="36" t="s">
        <v>72</v>
      </c>
      <c r="B57" s="24">
        <v>2015</v>
      </c>
      <c r="C57" s="24">
        <v>2016</v>
      </c>
      <c r="D57" s="24">
        <v>2017</v>
      </c>
      <c r="E57" s="24" t="s">
        <v>15</v>
      </c>
      <c r="F57" s="24" t="s">
        <v>16</v>
      </c>
      <c r="G57" s="24" t="s">
        <v>17</v>
      </c>
      <c r="H57" s="24" t="s">
        <v>18</v>
      </c>
      <c r="I57" s="24" t="s">
        <v>19</v>
      </c>
    </row>
    <row r="58" spans="1:9">
      <c r="A58" s="10" t="s">
        <v>64</v>
      </c>
      <c r="B58" s="33"/>
      <c r="C58" s="33"/>
      <c r="D58" s="33">
        <v>3.63</v>
      </c>
      <c r="E58" s="33">
        <f>D62</f>
        <v>1.63</v>
      </c>
      <c r="F58" s="33">
        <f t="shared" ref="F58:I58" si="50">E62</f>
        <v>1.4746963594518252</v>
      </c>
      <c r="G58" s="33">
        <f t="shared" si="50"/>
        <v>1.3987001920002697</v>
      </c>
      <c r="H58" s="33">
        <f t="shared" si="50"/>
        <v>1.3780407762259375</v>
      </c>
      <c r="I58" s="33">
        <f t="shared" si="50"/>
        <v>1.396692911449231</v>
      </c>
    </row>
    <row r="59" spans="1:9">
      <c r="A59" s="10" t="s">
        <v>65</v>
      </c>
      <c r="B59" s="33"/>
      <c r="C59" s="33"/>
      <c r="D59" s="46">
        <v>0.35</v>
      </c>
      <c r="E59" s="48">
        <f>INDEX($L$4:$T$15,MATCH($A57,$L$4:$L$15,0),MATCH(E57,$L$4:$T$4,0))</f>
        <v>0.37680379746835446</v>
      </c>
      <c r="F59" s="48">
        <f t="shared" ref="F59:I59" si="51">INDEX($L$4:$T$15,MATCH($A57,$L$4:$L$15,0),MATCH(F57,$L$4:$T$4,0))</f>
        <v>0.40541297468354437</v>
      </c>
      <c r="G59" s="48">
        <f t="shared" si="51"/>
        <v>0.43594106012658235</v>
      </c>
      <c r="H59" s="48">
        <f t="shared" si="51"/>
        <v>0.46850842167721524</v>
      </c>
      <c r="I59" s="48">
        <f t="shared" si="51"/>
        <v>0.50324266673259521</v>
      </c>
    </row>
    <row r="60" spans="1:9">
      <c r="A60" s="10" t="s">
        <v>66</v>
      </c>
      <c r="B60" s="33"/>
      <c r="C60" s="33"/>
      <c r="D60" s="46">
        <v>1.56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</row>
    <row r="61" spans="1:9">
      <c r="A61" s="10" t="s">
        <v>67</v>
      </c>
      <c r="B61" s="33"/>
      <c r="C61" s="33"/>
      <c r="D61" s="46">
        <v>0.79</v>
      </c>
      <c r="E61" s="48">
        <f>E58*$B63</f>
        <v>0.53210743801652893</v>
      </c>
      <c r="F61" s="48">
        <f t="shared" ref="F61:I61" si="52">F58*$B63</f>
        <v>0.4814091421351</v>
      </c>
      <c r="G61" s="48">
        <f t="shared" si="52"/>
        <v>0.45660047590091452</v>
      </c>
      <c r="H61" s="48">
        <f t="shared" si="52"/>
        <v>0.44985628645392178</v>
      </c>
      <c r="I61" s="48">
        <f t="shared" si="52"/>
        <v>0.45594520663012089</v>
      </c>
    </row>
    <row r="62" spans="1:9">
      <c r="A62" s="10" t="s">
        <v>68</v>
      </c>
      <c r="B62" s="33"/>
      <c r="C62" s="33"/>
      <c r="D62" s="46">
        <v>1.63</v>
      </c>
      <c r="E62" s="47">
        <f>E58+E59-E60-E61</f>
        <v>1.4746963594518252</v>
      </c>
      <c r="F62" s="47">
        <f t="shared" ref="F62" si="53">F58+F59-F60-F61</f>
        <v>1.3987001920002697</v>
      </c>
      <c r="G62" s="47">
        <f t="shared" ref="G62" si="54">G58+G59-G60-G61</f>
        <v>1.3780407762259375</v>
      </c>
      <c r="H62" s="47">
        <f t="shared" ref="H62" si="55">H58+H59-H60-H61</f>
        <v>1.396692911449231</v>
      </c>
      <c r="I62" s="47">
        <f t="shared" ref="I62" si="56">I58+I59-I60-I61</f>
        <v>1.4439903715517053</v>
      </c>
    </row>
    <row r="63" spans="1:9">
      <c r="A63" s="10" t="s">
        <v>75</v>
      </c>
      <c r="B63" s="22">
        <f>D61/(D58+D59-D60)</f>
        <v>0.32644628099173556</v>
      </c>
    </row>
    <row r="65" spans="1:9">
      <c r="A65" s="36" t="s">
        <v>73</v>
      </c>
      <c r="B65" s="24">
        <v>2015</v>
      </c>
      <c r="C65" s="24">
        <v>2016</v>
      </c>
      <c r="D65" s="24">
        <v>2017</v>
      </c>
      <c r="E65" s="24" t="s">
        <v>15</v>
      </c>
      <c r="F65" s="24" t="s">
        <v>16</v>
      </c>
      <c r="G65" s="24" t="s">
        <v>17</v>
      </c>
      <c r="H65" s="24" t="s">
        <v>18</v>
      </c>
      <c r="I65" s="24" t="s">
        <v>19</v>
      </c>
    </row>
    <row r="66" spans="1:9">
      <c r="A66" s="10" t="s">
        <v>64</v>
      </c>
      <c r="B66" s="33"/>
      <c r="C66" s="33"/>
      <c r="D66" s="33">
        <v>24.09</v>
      </c>
      <c r="E66" s="33">
        <f>D70</f>
        <v>38.4</v>
      </c>
      <c r="F66" s="33">
        <f t="shared" ref="F66:I66" si="57">E70</f>
        <v>54.144326385297006</v>
      </c>
      <c r="G66" s="33">
        <f t="shared" si="57"/>
        <v>70.308741800007127</v>
      </c>
      <c r="H66" s="33">
        <f t="shared" si="57"/>
        <v>86.959855885170526</v>
      </c>
      <c r="I66" s="33">
        <f t="shared" si="57"/>
        <v>104.16602347311236</v>
      </c>
    </row>
    <row r="67" spans="1:9">
      <c r="A67" s="10" t="s">
        <v>65</v>
      </c>
      <c r="B67" s="33"/>
      <c r="C67" s="33"/>
      <c r="D67" s="46">
        <v>16.78</v>
      </c>
      <c r="E67" s="48">
        <f>INDEX($L$4:$T$15,MATCH($A65,$L$4:$L$15,0),MATCH(E65,$L$4:$T$4,0))</f>
        <v>18.065050632911394</v>
      </c>
      <c r="F67" s="48">
        <f t="shared" ref="F67:I67" si="58">INDEX($L$4:$T$15,MATCH($A65,$L$4:$L$15,0),MATCH(F65,$L$4:$T$4,0))</f>
        <v>19.43665632911393</v>
      </c>
      <c r="G67" s="48">
        <f t="shared" si="58"/>
        <v>20.900259968354433</v>
      </c>
      <c r="H67" s="48">
        <f t="shared" si="58"/>
        <v>22.461632330696208</v>
      </c>
      <c r="I67" s="48">
        <f t="shared" si="58"/>
        <v>24.12689127935128</v>
      </c>
    </row>
    <row r="68" spans="1:9">
      <c r="A68" s="10" t="s">
        <v>66</v>
      </c>
      <c r="B68" s="33"/>
      <c r="C68" s="33"/>
      <c r="D68" s="46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</row>
    <row r="69" spans="1:9">
      <c r="A69" s="10" t="s">
        <v>67</v>
      </c>
      <c r="B69" s="33"/>
      <c r="C69" s="33"/>
      <c r="D69" s="46">
        <v>2.4700000000000002</v>
      </c>
      <c r="E69" s="48">
        <f>E66*$B71</f>
        <v>2.320724247614387</v>
      </c>
      <c r="F69" s="48">
        <f t="shared" ref="F69:I69" si="59">F66*$B71</f>
        <v>3.2722409144038074</v>
      </c>
      <c r="G69" s="48">
        <f t="shared" si="59"/>
        <v>4.2491458831910354</v>
      </c>
      <c r="H69" s="48">
        <f t="shared" si="59"/>
        <v>5.2554647427543726</v>
      </c>
      <c r="I69" s="48">
        <f t="shared" si="59"/>
        <v>6.2953285534276375</v>
      </c>
    </row>
    <row r="70" spans="1:9">
      <c r="A70" s="10" t="s">
        <v>68</v>
      </c>
      <c r="B70" s="33"/>
      <c r="C70" s="33"/>
      <c r="D70" s="46">
        <v>38.4</v>
      </c>
      <c r="E70" s="47">
        <f>E66+E67-E68-E69</f>
        <v>54.144326385297006</v>
      </c>
      <c r="F70" s="47">
        <f t="shared" ref="F70" si="60">F66+F67-F68-F69</f>
        <v>70.308741800007127</v>
      </c>
      <c r="G70" s="47">
        <f t="shared" ref="G70" si="61">G66+G67-G68-G69</f>
        <v>86.959855885170526</v>
      </c>
      <c r="H70" s="47">
        <f t="shared" ref="H70" si="62">H66+H67-H68-H69</f>
        <v>104.16602347311236</v>
      </c>
      <c r="I70" s="47">
        <f t="shared" ref="I70" si="63">I66+I67-I68-I69</f>
        <v>121.99758619903601</v>
      </c>
    </row>
    <row r="71" spans="1:9">
      <c r="A71" s="10" t="s">
        <v>75</v>
      </c>
      <c r="B71" s="22">
        <f>D69/(D66+D67-D68)</f>
        <v>6.0435527281624664E-2</v>
      </c>
    </row>
    <row r="73" spans="1:9">
      <c r="A73" s="36" t="s">
        <v>59</v>
      </c>
      <c r="B73" s="24">
        <v>2015</v>
      </c>
      <c r="C73" s="24">
        <v>2016</v>
      </c>
      <c r="D73" s="24">
        <v>2017</v>
      </c>
      <c r="E73" s="24" t="s">
        <v>15</v>
      </c>
      <c r="F73" s="24" t="s">
        <v>16</v>
      </c>
      <c r="G73" s="24" t="s">
        <v>17</v>
      </c>
      <c r="H73" s="24" t="s">
        <v>18</v>
      </c>
      <c r="I73" s="24" t="s">
        <v>19</v>
      </c>
    </row>
    <row r="74" spans="1:9">
      <c r="A74" s="10" t="s">
        <v>64</v>
      </c>
      <c r="B74" s="33"/>
      <c r="C74" s="33"/>
      <c r="D74" s="33">
        <v>41.91</v>
      </c>
      <c r="E74" s="33">
        <f>D78</f>
        <v>39.33</v>
      </c>
      <c r="F74" s="33">
        <f t="shared" ref="F74:I74" si="64">E78</f>
        <v>39.323074974550082</v>
      </c>
      <c r="G74" s="33">
        <f t="shared" si="64"/>
        <v>39.890480927130263</v>
      </c>
      <c r="H74" s="33">
        <f t="shared" si="64"/>
        <v>40.960344154306419</v>
      </c>
      <c r="I74" s="33">
        <f t="shared" si="64"/>
        <v>42.477005898689079</v>
      </c>
    </row>
    <row r="75" spans="1:9">
      <c r="A75" s="10" t="s">
        <v>65</v>
      </c>
      <c r="B75" s="33"/>
      <c r="C75" s="33"/>
      <c r="D75" s="46">
        <v>7.01</v>
      </c>
      <c r="E75" s="48">
        <f>INDEX($L$4:$T$15,MATCH($A73,$L$4:$L$15,0),MATCH(E73,$L$4:$T$4,0))</f>
        <v>7.5468417721518994</v>
      </c>
      <c r="F75" s="48">
        <f t="shared" ref="F75:I75" si="65">INDEX($L$4:$T$15,MATCH($A73,$L$4:$L$15,0),MATCH(F73,$L$4:$T$4,0))</f>
        <v>8.1198427215189888</v>
      </c>
      <c r="G75" s="48">
        <f t="shared" si="65"/>
        <v>8.7312766613924069</v>
      </c>
      <c r="H75" s="48">
        <f t="shared" si="65"/>
        <v>9.3835543884493688</v>
      </c>
      <c r="I75" s="48">
        <f t="shared" si="65"/>
        <v>10.07923169655855</v>
      </c>
    </row>
    <row r="76" spans="1:9">
      <c r="A76" s="10" t="s">
        <v>66</v>
      </c>
      <c r="B76" s="33"/>
      <c r="C76" s="33"/>
      <c r="D76" s="46">
        <v>0.55000000000000004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</row>
    <row r="77" spans="1:9">
      <c r="A77" s="10" t="s">
        <v>67</v>
      </c>
      <c r="B77" s="33"/>
      <c r="C77" s="33"/>
      <c r="D77" s="46">
        <v>9.2899999999999991</v>
      </c>
      <c r="E77" s="48">
        <f>E74*$B79</f>
        <v>7.5537667976018188</v>
      </c>
      <c r="F77" s="48">
        <f t="shared" ref="F77:I77" si="66">F74*$B79</f>
        <v>7.5524367689388106</v>
      </c>
      <c r="G77" s="48">
        <f t="shared" si="66"/>
        <v>7.6614134342162528</v>
      </c>
      <c r="H77" s="48">
        <f t="shared" si="66"/>
        <v>7.8668926440667075</v>
      </c>
      <c r="I77" s="48">
        <f t="shared" si="66"/>
        <v>8.158184511036211</v>
      </c>
    </row>
    <row r="78" spans="1:9">
      <c r="A78" s="10" t="s">
        <v>68</v>
      </c>
      <c r="B78" s="33"/>
      <c r="C78" s="33"/>
      <c r="D78" s="46">
        <v>39.33</v>
      </c>
      <c r="E78" s="47">
        <f>E74+E75-E76-E77</f>
        <v>39.323074974550082</v>
      </c>
      <c r="F78" s="47">
        <f t="shared" ref="F78" si="67">F74+F75-F76-F77</f>
        <v>39.890480927130263</v>
      </c>
      <c r="G78" s="47">
        <f t="shared" ref="G78" si="68">G74+G75-G76-G77</f>
        <v>40.960344154306419</v>
      </c>
      <c r="H78" s="47">
        <f t="shared" ref="H78" si="69">H74+H75-H76-H77</f>
        <v>42.477005898689079</v>
      </c>
      <c r="I78" s="47">
        <f t="shared" ref="I78" si="70">I74+I75-I76-I77</f>
        <v>44.398053084211419</v>
      </c>
    </row>
    <row r="79" spans="1:9">
      <c r="A79" s="10" t="s">
        <v>75</v>
      </c>
      <c r="B79" s="22">
        <f>D77/(D74+D75-D76)</f>
        <v>0.19206119495555096</v>
      </c>
    </row>
    <row r="81" spans="1:9">
      <c r="A81" s="36" t="s">
        <v>74</v>
      </c>
      <c r="B81" s="24">
        <v>2015</v>
      </c>
      <c r="C81" s="24">
        <v>2016</v>
      </c>
      <c r="D81" s="24">
        <v>2017</v>
      </c>
      <c r="E81" s="24" t="s">
        <v>15</v>
      </c>
      <c r="F81" s="24" t="s">
        <v>16</v>
      </c>
      <c r="G81" s="24" t="s">
        <v>17</v>
      </c>
      <c r="H81" s="24" t="s">
        <v>18</v>
      </c>
      <c r="I81" s="24" t="s">
        <v>19</v>
      </c>
    </row>
    <row r="82" spans="1:9">
      <c r="A82" s="10" t="s">
        <v>64</v>
      </c>
      <c r="B82" s="33"/>
      <c r="C82" s="33"/>
      <c r="D82" s="33">
        <v>18.72</v>
      </c>
      <c r="E82" s="33">
        <f>D86</f>
        <v>16.510000000000002</v>
      </c>
      <c r="F82" s="33">
        <f t="shared" ref="F82:I82" si="71">E86</f>
        <v>15.718706142660832</v>
      </c>
      <c r="G82" s="33">
        <f t="shared" si="71"/>
        <v>15.309352444217637</v>
      </c>
      <c r="H82" s="33">
        <f t="shared" si="71"/>
        <v>15.213522090558355</v>
      </c>
      <c r="I82" s="33">
        <f t="shared" si="71"/>
        <v>15.378474838210847</v>
      </c>
    </row>
    <row r="83" spans="1:9">
      <c r="A83" s="10" t="s">
        <v>65</v>
      </c>
      <c r="B83" s="33"/>
      <c r="C83" s="33"/>
      <c r="D83" s="46">
        <v>2.58</v>
      </c>
      <c r="E83" s="48">
        <f>INDEX($L$4:$T$15,MATCH($A81,$L$4:$L$15,0),MATCH(E81,$L$4:$T$4,0))</f>
        <v>2.7775822784810127</v>
      </c>
      <c r="F83" s="48">
        <f t="shared" ref="F83:I83" si="72">INDEX($L$4:$T$15,MATCH($A81,$L$4:$L$15,0),MATCH(F81,$L$4:$T$4,0))</f>
        <v>2.9884727848101273</v>
      </c>
      <c r="G83" s="48">
        <f t="shared" si="72"/>
        <v>3.2135083860759499</v>
      </c>
      <c r="H83" s="48">
        <f t="shared" si="72"/>
        <v>3.4535763655063296</v>
      </c>
      <c r="I83" s="48">
        <f t="shared" si="72"/>
        <v>3.7096173719145589</v>
      </c>
    </row>
    <row r="84" spans="1:9">
      <c r="A84" s="10" t="s">
        <v>66</v>
      </c>
      <c r="B84" s="33"/>
      <c r="C84" s="33"/>
      <c r="D84" s="46">
        <v>0.39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</row>
    <row r="85" spans="1:9">
      <c r="A85" s="10" t="s">
        <v>67</v>
      </c>
      <c r="B85" s="33"/>
      <c r="C85" s="33"/>
      <c r="D85" s="46">
        <v>4.5199999999999996</v>
      </c>
      <c r="E85" s="48">
        <f>E82*$B87</f>
        <v>3.5688761358201826</v>
      </c>
      <c r="F85" s="48">
        <f t="shared" ref="F85:I85" si="73">F82*$B87</f>
        <v>3.397826483253322</v>
      </c>
      <c r="G85" s="48">
        <f t="shared" si="73"/>
        <v>3.3093387397352334</v>
      </c>
      <c r="H85" s="48">
        <f t="shared" si="73"/>
        <v>3.2886236178538391</v>
      </c>
      <c r="I85" s="48">
        <f t="shared" si="73"/>
        <v>3.3242805484798201</v>
      </c>
    </row>
    <row r="86" spans="1:9">
      <c r="A86" s="10" t="s">
        <v>68</v>
      </c>
      <c r="B86" s="33"/>
      <c r="C86" s="33"/>
      <c r="D86" s="46">
        <v>16.510000000000002</v>
      </c>
      <c r="E86" s="47">
        <f>E82+E83-E84-E85</f>
        <v>15.718706142660832</v>
      </c>
      <c r="F86" s="47">
        <f t="shared" ref="F86" si="74">F82+F83-F84-F85</f>
        <v>15.309352444217637</v>
      </c>
      <c r="G86" s="47">
        <f t="shared" ref="G86" si="75">G82+G83-G84-G85</f>
        <v>15.213522090558355</v>
      </c>
      <c r="H86" s="47">
        <f t="shared" ref="H86" si="76">H82+H83-H84-H85</f>
        <v>15.378474838210847</v>
      </c>
      <c r="I86" s="47">
        <f t="shared" ref="I86" si="77">I82+I83-I84-I85</f>
        <v>15.763811661645587</v>
      </c>
    </row>
    <row r="87" spans="1:9">
      <c r="A87" s="10" t="s">
        <v>75</v>
      </c>
      <c r="B87" s="22">
        <f>D85/(D82+D83-D84)</f>
        <v>0.21616451458632235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selection activeCell="E1" sqref="E1"/>
    </sheetView>
  </sheetViews>
  <sheetFormatPr baseColWidth="10" defaultColWidth="8.83203125" defaultRowHeight="14" x14ac:dyDescent="0"/>
  <cols>
    <col min="1" max="1" width="43.5" bestFit="1" customWidth="1"/>
    <col min="3" max="4" width="10.5" bestFit="1" customWidth="1"/>
    <col min="5" max="9" width="9.5" bestFit="1" customWidth="1"/>
  </cols>
  <sheetData>
    <row r="1" spans="1:9">
      <c r="B1" s="24">
        <v>2015</v>
      </c>
      <c r="C1" s="24">
        <v>2016</v>
      </c>
      <c r="D1" s="24">
        <v>2017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</row>
    <row r="2" spans="1:9" s="33" customFormat="1">
      <c r="A2" s="33" t="s">
        <v>124</v>
      </c>
      <c r="B2"/>
      <c r="C2"/>
      <c r="D2"/>
      <c r="E2"/>
      <c r="F2"/>
      <c r="G2"/>
      <c r="H2"/>
      <c r="I2"/>
    </row>
    <row r="3" spans="1:9" s="33" customFormat="1">
      <c r="A3" s="50" t="s">
        <v>125</v>
      </c>
      <c r="B3"/>
      <c r="C3"/>
      <c r="D3"/>
      <c r="E3"/>
      <c r="F3"/>
      <c r="G3"/>
      <c r="H3"/>
      <c r="I3"/>
    </row>
    <row r="4" spans="1:9">
      <c r="A4" s="51" t="s">
        <v>82</v>
      </c>
      <c r="C4" s="45">
        <v>7524.48</v>
      </c>
      <c r="D4" s="45">
        <v>7224.46</v>
      </c>
      <c r="E4" s="64">
        <f>'Asset schedule'!E6+'Asset schedule'!E14+'Asset schedule'!E22+'Asset schedule'!E30+'Asset schedule'!E38+'Asset schedule'!E46+'Asset schedule'!E54+'Asset schedule'!E62+'Asset schedule'!E70+'Asset schedule'!E78+'Asset schedule'!E86</f>
        <v>7088.6930520206961</v>
      </c>
      <c r="F4" s="64">
        <f>'Asset schedule'!F6+'Asset schedule'!F14+'Asset schedule'!F22+'Asset schedule'!F30+'Asset schedule'!F38+'Asset schedule'!F46+'Asset schedule'!F54+'Asset schedule'!F62+'Asset schedule'!F70+'Asset schedule'!F78+'Asset schedule'!F86</f>
        <v>6960.3312559336882</v>
      </c>
      <c r="G4" s="64">
        <f>'Asset schedule'!G6+'Asset schedule'!G14+'Asset schedule'!G22+'Asset schedule'!G30+'Asset schedule'!G38+'Asset schedule'!G46+'Asset schedule'!G54+'Asset schedule'!G62+'Asset schedule'!G70+'Asset schedule'!G78+'Asset schedule'!G86</f>
        <v>6876.9247510980722</v>
      </c>
      <c r="H4" s="64">
        <f>'Asset schedule'!H6+'Asset schedule'!H14+'Asset schedule'!H22+'Asset schedule'!H30+'Asset schedule'!H38+'Asset schedule'!H46+'Asset schedule'!H54+'Asset schedule'!H62+'Asset schedule'!H70+'Asset schedule'!H78+'Asset schedule'!H86</f>
        <v>6836.4570732713273</v>
      </c>
      <c r="I4" s="64">
        <f>'Asset schedule'!I6+'Asset schedule'!I14+'Asset schedule'!I22+'Asset schedule'!I30+'Asset schedule'!I38+'Asset schedule'!I46+'Asset schedule'!I54+'Asset schedule'!I62+'Asset schedule'!I70+'Asset schedule'!I78+'Asset schedule'!I86</f>
        <v>6837.3081178315488</v>
      </c>
    </row>
    <row r="5" spans="1:9">
      <c r="A5" s="52" t="s">
        <v>83</v>
      </c>
      <c r="C5" s="45">
        <v>260.98</v>
      </c>
      <c r="D5" s="45">
        <v>269.25</v>
      </c>
      <c r="E5" s="27">
        <f>D5</f>
        <v>269.25</v>
      </c>
      <c r="F5" s="27">
        <f t="shared" ref="F5:I5" si="0">E5</f>
        <v>269.25</v>
      </c>
      <c r="G5" s="27">
        <f t="shared" si="0"/>
        <v>269.25</v>
      </c>
      <c r="H5" s="27">
        <f t="shared" si="0"/>
        <v>269.25</v>
      </c>
      <c r="I5" s="27">
        <f t="shared" si="0"/>
        <v>269.25</v>
      </c>
    </row>
    <row r="6" spans="1:9">
      <c r="A6" s="52" t="s">
        <v>84</v>
      </c>
      <c r="C6" s="45">
        <v>15.57</v>
      </c>
      <c r="D6" s="45">
        <v>15.57</v>
      </c>
      <c r="E6" s="27">
        <f t="shared" ref="E6:I6" si="1">D6</f>
        <v>15.57</v>
      </c>
      <c r="F6" s="27">
        <f t="shared" si="1"/>
        <v>15.57</v>
      </c>
      <c r="G6" s="27">
        <f t="shared" si="1"/>
        <v>15.57</v>
      </c>
      <c r="H6" s="27">
        <f t="shared" si="1"/>
        <v>15.57</v>
      </c>
      <c r="I6" s="27">
        <f t="shared" si="1"/>
        <v>15.57</v>
      </c>
    </row>
    <row r="7" spans="1:9">
      <c r="A7" s="52" t="s">
        <v>85</v>
      </c>
      <c r="C7" s="45">
        <v>27.72</v>
      </c>
      <c r="D7" s="45">
        <v>40.03</v>
      </c>
      <c r="E7" s="63"/>
      <c r="F7" s="63"/>
      <c r="G7" s="63"/>
      <c r="H7" s="63"/>
      <c r="I7" s="63"/>
    </row>
    <row r="8" spans="1:9">
      <c r="A8" s="52" t="s">
        <v>86</v>
      </c>
      <c r="C8" s="45" t="s">
        <v>63</v>
      </c>
      <c r="D8" s="45" t="s">
        <v>63</v>
      </c>
      <c r="E8" s="45" t="s">
        <v>63</v>
      </c>
      <c r="F8" s="45" t="s">
        <v>63</v>
      </c>
      <c r="G8" s="45" t="s">
        <v>63</v>
      </c>
      <c r="H8" s="45" t="s">
        <v>63</v>
      </c>
      <c r="I8" s="45" t="s">
        <v>63</v>
      </c>
    </row>
    <row r="9" spans="1:9">
      <c r="A9" s="52" t="s">
        <v>87</v>
      </c>
      <c r="C9" s="45">
        <v>85.13</v>
      </c>
      <c r="D9" s="45">
        <v>91.16</v>
      </c>
      <c r="E9" s="45">
        <v>91.16</v>
      </c>
      <c r="F9" s="45">
        <v>91.16</v>
      </c>
      <c r="G9" s="45">
        <v>91.16</v>
      </c>
      <c r="H9" s="45">
        <v>91.16</v>
      </c>
      <c r="I9" s="45">
        <v>91.16</v>
      </c>
    </row>
    <row r="10" spans="1:9">
      <c r="A10" s="52" t="s">
        <v>88</v>
      </c>
      <c r="C10" s="45"/>
      <c r="D10" s="45"/>
      <c r="E10" s="45"/>
      <c r="F10" s="45"/>
      <c r="G10" s="45"/>
      <c r="H10" s="45"/>
      <c r="I10" s="45"/>
    </row>
    <row r="11" spans="1:9">
      <c r="A11" s="53" t="s">
        <v>89</v>
      </c>
      <c r="C11" s="45">
        <v>32.049999999999997</v>
      </c>
      <c r="D11" s="45">
        <v>3.7</v>
      </c>
      <c r="E11" s="45">
        <v>3.7</v>
      </c>
      <c r="F11" s="45">
        <v>3.7</v>
      </c>
      <c r="G11" s="45">
        <v>3.7</v>
      </c>
      <c r="H11" s="45">
        <v>3.7</v>
      </c>
      <c r="I11" s="45">
        <v>3.7</v>
      </c>
    </row>
    <row r="12" spans="1:9">
      <c r="A12" s="54" t="s">
        <v>90</v>
      </c>
      <c r="C12" s="45">
        <v>199.58</v>
      </c>
      <c r="D12" s="45">
        <v>222.59</v>
      </c>
      <c r="E12" s="45">
        <v>222.59</v>
      </c>
      <c r="F12" s="45">
        <v>222.59</v>
      </c>
      <c r="G12" s="45">
        <v>222.59</v>
      </c>
      <c r="H12" s="45">
        <v>222.59</v>
      </c>
      <c r="I12" s="45">
        <v>222.59</v>
      </c>
    </row>
    <row r="13" spans="1:9">
      <c r="A13" s="54" t="s">
        <v>91</v>
      </c>
      <c r="C13" s="45">
        <v>0.06</v>
      </c>
      <c r="D13" s="45">
        <v>0.06</v>
      </c>
      <c r="E13" s="45">
        <v>0.06</v>
      </c>
      <c r="F13" s="45">
        <v>0.06</v>
      </c>
      <c r="G13" s="45">
        <v>0.06</v>
      </c>
      <c r="H13" s="45">
        <v>0.06</v>
      </c>
      <c r="I13" s="45">
        <v>0.06</v>
      </c>
    </row>
    <row r="14" spans="1:9">
      <c r="A14" s="52" t="s">
        <v>92</v>
      </c>
      <c r="C14" s="45">
        <v>304.72000000000003</v>
      </c>
      <c r="D14" s="45">
        <v>296.95</v>
      </c>
      <c r="E14" s="45">
        <v>296.95</v>
      </c>
      <c r="F14" s="45">
        <v>296.95</v>
      </c>
      <c r="G14" s="45">
        <v>296.95</v>
      </c>
      <c r="H14" s="45">
        <v>296.95</v>
      </c>
      <c r="I14" s="45">
        <v>296.95</v>
      </c>
    </row>
    <row r="15" spans="1:9">
      <c r="A15" s="52" t="s">
        <v>93</v>
      </c>
      <c r="C15" s="45">
        <v>838.93</v>
      </c>
      <c r="D15" s="45">
        <v>1027.05</v>
      </c>
      <c r="E15" s="45">
        <v>1027.05</v>
      </c>
      <c r="F15" s="45">
        <v>1027.05</v>
      </c>
      <c r="G15" s="45">
        <v>1027.05</v>
      </c>
      <c r="H15" s="45">
        <v>1027.05</v>
      </c>
      <c r="I15" s="45">
        <v>1027.05</v>
      </c>
    </row>
    <row r="16" spans="1:9">
      <c r="A16" s="36" t="s">
        <v>94</v>
      </c>
      <c r="B16" s="36"/>
      <c r="C16" s="59">
        <f>SUM(C4:C15)</f>
        <v>9289.2199999999993</v>
      </c>
      <c r="D16" s="59">
        <f>SUM(D4:D15)</f>
        <v>9190.82</v>
      </c>
      <c r="E16" s="59">
        <f t="shared" ref="E16:I16" si="2">SUM(E4:E15)</f>
        <v>9015.0230520206951</v>
      </c>
      <c r="F16" s="59">
        <f t="shared" si="2"/>
        <v>8886.6612559336882</v>
      </c>
      <c r="G16" s="59">
        <f t="shared" si="2"/>
        <v>8803.2547510980712</v>
      </c>
      <c r="H16" s="59">
        <f t="shared" si="2"/>
        <v>8762.7870732713272</v>
      </c>
      <c r="I16" s="59">
        <f t="shared" si="2"/>
        <v>8763.6381178315478</v>
      </c>
    </row>
    <row r="17" spans="1:9">
      <c r="A17" s="50" t="s">
        <v>95</v>
      </c>
      <c r="C17" s="45"/>
      <c r="D17" s="45"/>
    </row>
    <row r="18" spans="1:9">
      <c r="A18" s="52" t="s">
        <v>96</v>
      </c>
      <c r="C18" s="45">
        <v>1224.6300000000001</v>
      </c>
      <c r="D18" s="45">
        <v>1404.78</v>
      </c>
      <c r="E18" s="64">
        <f>SUM('Financial Statements'!E4:E7)*'Balance Sheet'!E57</f>
        <v>1614.6923032094292</v>
      </c>
      <c r="F18" s="64">
        <f>SUM('Financial Statements'!F4:F7)*'Balance Sheet'!F57</f>
        <v>1750.0383393580005</v>
      </c>
      <c r="G18" s="64">
        <f>SUM('Financial Statements'!G4:G7)*'Balance Sheet'!G57</f>
        <v>1895.5273798978162</v>
      </c>
      <c r="H18" s="64">
        <f>SUM('Financial Statements'!H4:H7)*'Balance Sheet'!H57</f>
        <v>2051.8676167543495</v>
      </c>
      <c r="I18" s="64">
        <f>SUM('Financial Statements'!I4:I7)*'Balance Sheet'!I57</f>
        <v>2219.8143163634804</v>
      </c>
    </row>
    <row r="19" spans="1:9">
      <c r="A19" s="52" t="s">
        <v>97</v>
      </c>
      <c r="C19" s="45"/>
      <c r="D19" s="45"/>
    </row>
    <row r="20" spans="1:9">
      <c r="A20" s="53" t="s">
        <v>89</v>
      </c>
      <c r="C20" s="45" t="s">
        <v>63</v>
      </c>
      <c r="D20" s="45" t="s">
        <v>63</v>
      </c>
      <c r="E20" s="45" t="s">
        <v>63</v>
      </c>
      <c r="F20" s="45" t="s">
        <v>63</v>
      </c>
      <c r="G20" s="45" t="s">
        <v>63</v>
      </c>
      <c r="H20" s="45" t="s">
        <v>63</v>
      </c>
      <c r="I20" s="45" t="s">
        <v>63</v>
      </c>
    </row>
    <row r="21" spans="1:9">
      <c r="A21" s="53" t="s">
        <v>98</v>
      </c>
      <c r="C21" s="45">
        <v>533.17999999999995</v>
      </c>
      <c r="D21" s="45">
        <v>665.97</v>
      </c>
      <c r="E21" s="64">
        <f>'Financial Statements'!E2*'Balance Sheet'!E58</f>
        <v>704.9318970579036</v>
      </c>
      <c r="F21" s="64">
        <f>'Financial Statements'!F2*'Balance Sheet'!F58</f>
        <v>758.45450405674455</v>
      </c>
      <c r="G21" s="64">
        <f>'Financial Statements'!G2*'Balance Sheet'!G58</f>
        <v>815.56704201282457</v>
      </c>
      <c r="H21" s="64">
        <f>'Financial Statements'!H2*'Balance Sheet'!H58</f>
        <v>876.49469750437095</v>
      </c>
      <c r="I21" s="64">
        <f>'Financial Statements'!I2*'Balance Sheet'!I58</f>
        <v>941.47620094004014</v>
      </c>
    </row>
    <row r="22" spans="1:9">
      <c r="A22" s="53" t="s">
        <v>99</v>
      </c>
      <c r="C22" s="45">
        <v>1809.63</v>
      </c>
      <c r="D22" s="45">
        <v>2559.66</v>
      </c>
      <c r="E22" s="64">
        <f>'Financial Statements'!O34</f>
        <v>3143.4217089637868</v>
      </c>
      <c r="F22" s="64">
        <f>'Financial Statements'!P34</f>
        <v>3888.8907180349038</v>
      </c>
      <c r="G22" s="64">
        <f>'Financial Statements'!Q34</f>
        <v>4626.1956351233366</v>
      </c>
      <c r="H22" s="64">
        <f>'Financial Statements'!R34</f>
        <v>5354.2230032712387</v>
      </c>
      <c r="I22" s="64">
        <f>'Financial Statements'!S34</f>
        <v>6071.2953486560837</v>
      </c>
    </row>
    <row r="23" spans="1:9">
      <c r="A23" s="55" t="s">
        <v>126</v>
      </c>
      <c r="C23" s="45">
        <v>167.53</v>
      </c>
      <c r="D23" s="45">
        <v>168.89</v>
      </c>
      <c r="E23" s="45">
        <v>168.89</v>
      </c>
      <c r="F23" s="45">
        <v>168.89</v>
      </c>
      <c r="G23" s="45">
        <v>168.89</v>
      </c>
      <c r="H23" s="45">
        <v>168.89</v>
      </c>
      <c r="I23" s="45">
        <v>168.89</v>
      </c>
    </row>
    <row r="24" spans="1:9">
      <c r="A24" s="53" t="s">
        <v>100</v>
      </c>
      <c r="C24" s="45">
        <v>29.42</v>
      </c>
      <c r="D24" s="45">
        <v>41.4</v>
      </c>
      <c r="E24" s="45">
        <v>41.4</v>
      </c>
      <c r="F24" s="45">
        <v>41.4</v>
      </c>
      <c r="G24" s="45">
        <v>41.4</v>
      </c>
      <c r="H24" s="45">
        <v>41.4</v>
      </c>
      <c r="I24" s="45">
        <v>41.4</v>
      </c>
    </row>
    <row r="25" spans="1:9">
      <c r="A25" s="53" t="s">
        <v>101</v>
      </c>
      <c r="C25" s="45">
        <v>5.05</v>
      </c>
      <c r="D25" s="45">
        <v>8.8800000000000008</v>
      </c>
      <c r="E25" s="45">
        <v>8.8800000000000008</v>
      </c>
      <c r="F25" s="45">
        <v>8.8800000000000008</v>
      </c>
      <c r="G25" s="45">
        <v>8.8800000000000008</v>
      </c>
      <c r="H25" s="45">
        <v>8.8800000000000008</v>
      </c>
      <c r="I25" s="45">
        <v>8.8800000000000008</v>
      </c>
    </row>
    <row r="26" spans="1:9">
      <c r="A26" s="52" t="s">
        <v>102</v>
      </c>
      <c r="C26" s="45">
        <v>323.20999999999998</v>
      </c>
      <c r="D26" s="45">
        <v>792.26</v>
      </c>
      <c r="E26" s="45">
        <v>792.26</v>
      </c>
      <c r="F26" s="45">
        <v>792.26</v>
      </c>
      <c r="G26" s="45">
        <v>792.26</v>
      </c>
      <c r="H26" s="45">
        <v>792.26</v>
      </c>
      <c r="I26" s="45">
        <v>792.26</v>
      </c>
    </row>
    <row r="27" spans="1:9" s="33" customFormat="1">
      <c r="C27" s="59">
        <f t="shared" ref="C27:I27" si="3">SUM(C18:C26)</f>
        <v>4092.6500000000005</v>
      </c>
      <c r="D27" s="59">
        <f t="shared" si="3"/>
        <v>5641.84</v>
      </c>
      <c r="E27" s="59">
        <f t="shared" si="3"/>
        <v>6474.4759092311197</v>
      </c>
      <c r="F27" s="59">
        <f t="shared" si="3"/>
        <v>7408.8135614496496</v>
      </c>
      <c r="G27" s="59">
        <f t="shared" si="3"/>
        <v>8348.7200570339774</v>
      </c>
      <c r="H27" s="59">
        <f t="shared" si="3"/>
        <v>9294.0153175299583</v>
      </c>
      <c r="I27" s="59">
        <f t="shared" si="3"/>
        <v>10244.015865959604</v>
      </c>
    </row>
    <row r="28" spans="1:9">
      <c r="A28" s="51" t="s">
        <v>128</v>
      </c>
      <c r="C28" s="45">
        <v>12.07</v>
      </c>
      <c r="D28" s="45">
        <v>13.08</v>
      </c>
      <c r="E28" s="45">
        <v>13.08</v>
      </c>
      <c r="F28" s="45">
        <v>13.08</v>
      </c>
      <c r="G28" s="45">
        <v>13.08</v>
      </c>
      <c r="H28" s="45">
        <v>13.08</v>
      </c>
      <c r="I28" s="45">
        <v>13.08</v>
      </c>
    </row>
    <row r="29" spans="1:9">
      <c r="A29" t="s">
        <v>103</v>
      </c>
      <c r="C29" s="59">
        <f>C27+C28</f>
        <v>4104.72</v>
      </c>
      <c r="D29" s="59">
        <f>D27+D28</f>
        <v>5654.92</v>
      </c>
      <c r="E29" s="59">
        <f t="shared" ref="E29:I29" si="4">E27+E28</f>
        <v>6487.5559092311196</v>
      </c>
      <c r="F29" s="59">
        <f t="shared" si="4"/>
        <v>7421.8935614496495</v>
      </c>
      <c r="G29" s="59">
        <f t="shared" si="4"/>
        <v>8361.8000570339773</v>
      </c>
      <c r="H29" s="59">
        <f t="shared" si="4"/>
        <v>9307.0953175299583</v>
      </c>
      <c r="I29" s="59">
        <f t="shared" si="4"/>
        <v>10257.095865959604</v>
      </c>
    </row>
    <row r="30" spans="1:9" ht="15" thickBot="1">
      <c r="A30" s="60" t="s">
        <v>104</v>
      </c>
      <c r="B30" s="60"/>
      <c r="C30" s="61">
        <f t="shared" ref="C30:I30" si="5">C29+C16</f>
        <v>13393.939999999999</v>
      </c>
      <c r="D30" s="61">
        <f t="shared" si="5"/>
        <v>14845.74</v>
      </c>
      <c r="E30" s="61">
        <f t="shared" si="5"/>
        <v>15502.578961251815</v>
      </c>
      <c r="F30" s="61">
        <f t="shared" si="5"/>
        <v>16308.554817383338</v>
      </c>
      <c r="G30" s="61">
        <f t="shared" si="5"/>
        <v>17165.054808132048</v>
      </c>
      <c r="H30" s="61">
        <f t="shared" si="5"/>
        <v>18069.882390801286</v>
      </c>
      <c r="I30" s="61">
        <f t="shared" si="5"/>
        <v>19020.73398379115</v>
      </c>
    </row>
    <row r="31" spans="1:9">
      <c r="A31" s="50" t="s">
        <v>105</v>
      </c>
      <c r="C31" s="45"/>
      <c r="D31" s="45"/>
    </row>
    <row r="32" spans="1:9">
      <c r="A32" s="52" t="s">
        <v>7</v>
      </c>
      <c r="C32" s="45"/>
      <c r="D32" s="45"/>
    </row>
    <row r="33" spans="1:9">
      <c r="A33" s="52" t="s">
        <v>106</v>
      </c>
      <c r="C33" s="45">
        <v>187.99</v>
      </c>
      <c r="D33" s="45">
        <v>187.99</v>
      </c>
      <c r="E33" s="65">
        <f>D33</f>
        <v>187.99</v>
      </c>
      <c r="F33" s="65">
        <f t="shared" ref="F33:I33" si="6">E33</f>
        <v>187.99</v>
      </c>
      <c r="G33" s="65">
        <f t="shared" si="6"/>
        <v>187.99</v>
      </c>
      <c r="H33" s="65">
        <f t="shared" si="6"/>
        <v>187.99</v>
      </c>
      <c r="I33" s="65">
        <f t="shared" si="6"/>
        <v>187.99</v>
      </c>
    </row>
    <row r="34" spans="1:9">
      <c r="A34" s="52" t="s">
        <v>107</v>
      </c>
      <c r="C34" s="45">
        <v>8625.44</v>
      </c>
      <c r="D34" s="45">
        <v>9167.86</v>
      </c>
      <c r="E34" s="65">
        <f>D34+'Financial Statements'!E20</f>
        <v>9775.9350805378654</v>
      </c>
      <c r="F34" s="65">
        <f>E34+'Financial Statements'!F20</f>
        <v>10425.746844362358</v>
      </c>
      <c r="G34" s="65">
        <f>F34+'Financial Statements'!G20</f>
        <v>11114.379606760322</v>
      </c>
      <c r="H34" s="65">
        <f>G34+'Financial Statements'!H20</f>
        <v>11838.819703585748</v>
      </c>
      <c r="I34" s="65">
        <f>H34+'Financial Statements'!I20</f>
        <v>12595.892116580781</v>
      </c>
    </row>
    <row r="35" spans="1:9">
      <c r="A35" s="52" t="s">
        <v>108</v>
      </c>
      <c r="C35" s="45">
        <v>2.78</v>
      </c>
      <c r="D35" s="45">
        <v>2.88</v>
      </c>
      <c r="E35" s="45">
        <v>2.88</v>
      </c>
      <c r="F35" s="45">
        <v>2.88</v>
      </c>
      <c r="G35" s="45">
        <v>2.88</v>
      </c>
      <c r="H35" s="45">
        <v>2.88</v>
      </c>
      <c r="I35" s="45">
        <v>2.88</v>
      </c>
    </row>
    <row r="36" spans="1:9">
      <c r="A36" s="36" t="s">
        <v>109</v>
      </c>
      <c r="B36" s="36"/>
      <c r="C36" s="59">
        <f t="shared" ref="C36:I36" si="7">C33+C34+C35</f>
        <v>8816.2100000000009</v>
      </c>
      <c r="D36" s="59">
        <f t="shared" si="7"/>
        <v>9358.73</v>
      </c>
      <c r="E36" s="59">
        <f t="shared" si="7"/>
        <v>9966.8050805378643</v>
      </c>
      <c r="F36" s="59">
        <f t="shared" si="7"/>
        <v>10616.616844362357</v>
      </c>
      <c r="G36" s="59">
        <f t="shared" si="7"/>
        <v>11305.249606760321</v>
      </c>
      <c r="H36" s="59">
        <f t="shared" si="7"/>
        <v>12029.689703585747</v>
      </c>
      <c r="I36" s="59">
        <f t="shared" si="7"/>
        <v>12786.76211658078</v>
      </c>
    </row>
    <row r="37" spans="1:9">
      <c r="A37" s="50" t="s">
        <v>110</v>
      </c>
      <c r="C37" s="45"/>
      <c r="D37" s="45"/>
    </row>
    <row r="38" spans="1:9">
      <c r="A38" s="50" t="s">
        <v>111</v>
      </c>
      <c r="C38" s="45"/>
      <c r="D38" s="45"/>
    </row>
    <row r="39" spans="1:9">
      <c r="A39" s="50" t="s">
        <v>112</v>
      </c>
      <c r="C39" s="45">
        <v>141.36000000000001</v>
      </c>
      <c r="D39" s="45">
        <v>142.79</v>
      </c>
      <c r="E39" s="45">
        <v>142.79</v>
      </c>
      <c r="F39" s="45">
        <v>142.79</v>
      </c>
      <c r="G39" s="45">
        <v>142.79</v>
      </c>
      <c r="H39" s="45">
        <v>142.79</v>
      </c>
      <c r="I39" s="45">
        <v>142.79</v>
      </c>
    </row>
    <row r="40" spans="1:9">
      <c r="A40" s="50" t="s">
        <v>113</v>
      </c>
      <c r="C40" s="45">
        <v>456.31</v>
      </c>
      <c r="D40" s="45">
        <v>551.55999999999995</v>
      </c>
      <c r="E40" s="45">
        <v>551.55999999999995</v>
      </c>
      <c r="F40" s="45">
        <v>551.55999999999995</v>
      </c>
      <c r="G40" s="45">
        <v>551.55999999999995</v>
      </c>
      <c r="H40" s="45">
        <v>551.55999999999995</v>
      </c>
      <c r="I40" s="45">
        <v>551.55999999999995</v>
      </c>
    </row>
    <row r="41" spans="1:9">
      <c r="A41" s="62" t="s">
        <v>114</v>
      </c>
      <c r="B41" s="36"/>
      <c r="C41" s="59">
        <f>SUM(C39:C40)</f>
        <v>597.67000000000007</v>
      </c>
      <c r="D41" s="59">
        <f>SUM(D39:D40)</f>
        <v>694.34999999999991</v>
      </c>
      <c r="E41" s="59">
        <f t="shared" ref="E41:I41" si="8">SUM(E39:E40)</f>
        <v>694.34999999999991</v>
      </c>
      <c r="F41" s="59">
        <f t="shared" si="8"/>
        <v>694.34999999999991</v>
      </c>
      <c r="G41" s="59">
        <f t="shared" si="8"/>
        <v>694.34999999999991</v>
      </c>
      <c r="H41" s="59">
        <f t="shared" si="8"/>
        <v>694.34999999999991</v>
      </c>
      <c r="I41" s="59">
        <f t="shared" si="8"/>
        <v>694.34999999999991</v>
      </c>
    </row>
    <row r="42" spans="1:9">
      <c r="A42" s="50" t="s">
        <v>115</v>
      </c>
      <c r="C42" s="45"/>
      <c r="D42" s="45"/>
    </row>
    <row r="43" spans="1:9">
      <c r="A43" s="50" t="s">
        <v>116</v>
      </c>
      <c r="C43" s="45"/>
      <c r="D43" s="45"/>
    </row>
    <row r="44" spans="1:9">
      <c r="A44" s="53" t="s">
        <v>117</v>
      </c>
      <c r="C44" s="45">
        <v>1258.49</v>
      </c>
      <c r="D44" s="45">
        <v>1813.74</v>
      </c>
      <c r="E44" s="64">
        <f>SUM('Financial Statements'!E4:E7)*'Balance Sheet'!E59</f>
        <v>1863.0538807139501</v>
      </c>
      <c r="F44" s="64">
        <f>SUM('Financial Statements'!F4:F7)*'Balance Sheet'!F59</f>
        <v>2019.2179730209791</v>
      </c>
      <c r="G44" s="64">
        <f>SUM('Financial Statements'!G4:G7)*'Balance Sheet'!G59</f>
        <v>2187.0852013717272</v>
      </c>
      <c r="H44" s="64">
        <f>SUM('Financial Statements'!H4:H7)*'Balance Sheet'!H59</f>
        <v>2367.4726872155388</v>
      </c>
      <c r="I44" s="64">
        <f>SUM('Financial Statements'!I4:I7)*'Balance Sheet'!I59</f>
        <v>2561.251867210372</v>
      </c>
    </row>
    <row r="45" spans="1:9">
      <c r="A45" s="53" t="s">
        <v>118</v>
      </c>
      <c r="C45" s="45">
        <v>835.39</v>
      </c>
      <c r="D45" s="45">
        <v>721.34</v>
      </c>
      <c r="E45" s="45">
        <v>721.34</v>
      </c>
      <c r="F45" s="45">
        <v>721.34</v>
      </c>
      <c r="G45" s="45">
        <v>721.34</v>
      </c>
      <c r="H45" s="45">
        <v>721.34</v>
      </c>
      <c r="I45" s="45">
        <v>721.34</v>
      </c>
    </row>
    <row r="46" spans="1:9">
      <c r="A46" s="50" t="s">
        <v>119</v>
      </c>
      <c r="C46" s="45">
        <v>1415.57</v>
      </c>
      <c r="D46" s="45">
        <v>1737.97</v>
      </c>
      <c r="E46" s="45">
        <v>1737.97</v>
      </c>
      <c r="F46" s="45">
        <v>1737.97</v>
      </c>
      <c r="G46" s="45">
        <v>1737.97</v>
      </c>
      <c r="H46" s="45">
        <v>1737.97</v>
      </c>
      <c r="I46" s="45">
        <v>1737.97</v>
      </c>
    </row>
    <row r="47" spans="1:9">
      <c r="A47" s="50" t="s">
        <v>112</v>
      </c>
      <c r="C47" s="45">
        <v>52.02</v>
      </c>
      <c r="D47" s="45">
        <v>51.19</v>
      </c>
      <c r="E47" s="45">
        <v>51.19</v>
      </c>
      <c r="F47" s="45">
        <v>51.19</v>
      </c>
      <c r="G47" s="45">
        <v>51.19</v>
      </c>
      <c r="H47" s="45">
        <v>51.19</v>
      </c>
      <c r="I47" s="45">
        <v>51.19</v>
      </c>
    </row>
    <row r="48" spans="1:9">
      <c r="A48" s="50" t="s">
        <v>120</v>
      </c>
      <c r="C48" s="45">
        <v>418.59</v>
      </c>
      <c r="D48" s="45">
        <v>468.42</v>
      </c>
      <c r="E48" s="45">
        <v>468.42</v>
      </c>
      <c r="F48" s="45">
        <v>468.42</v>
      </c>
      <c r="G48" s="45">
        <v>468.42</v>
      </c>
      <c r="H48" s="45">
        <v>468.42</v>
      </c>
      <c r="I48" s="45">
        <v>468.42</v>
      </c>
    </row>
    <row r="49" spans="1:9">
      <c r="A49" s="36" t="s">
        <v>121</v>
      </c>
      <c r="B49" s="36"/>
      <c r="C49" s="59">
        <f>SUM(C44:C48)</f>
        <v>3980.06</v>
      </c>
      <c r="D49" s="59">
        <f>SUM(D44:D48)</f>
        <v>4792.66</v>
      </c>
      <c r="E49" s="59">
        <f t="shared" ref="E49:I49" si="9">SUM(E44:E48)</f>
        <v>4841.9738807139502</v>
      </c>
      <c r="F49" s="59">
        <f t="shared" si="9"/>
        <v>4998.1379730209792</v>
      </c>
      <c r="G49" s="59">
        <f t="shared" si="9"/>
        <v>5166.0052013717268</v>
      </c>
      <c r="H49" s="59">
        <f t="shared" si="9"/>
        <v>5346.3926872155389</v>
      </c>
      <c r="I49" s="59">
        <f t="shared" si="9"/>
        <v>5540.1718672103716</v>
      </c>
    </row>
    <row r="50" spans="1:9">
      <c r="A50" s="36" t="s">
        <v>122</v>
      </c>
      <c r="B50" s="36"/>
      <c r="C50" s="59">
        <f>C49+C41</f>
        <v>4577.7299999999996</v>
      </c>
      <c r="D50" s="59">
        <f>D49+D41</f>
        <v>5487.01</v>
      </c>
      <c r="E50" s="59">
        <f t="shared" ref="E50:I50" si="10">E49+E41</f>
        <v>5536.3238807139496</v>
      </c>
      <c r="F50" s="59">
        <f t="shared" si="10"/>
        <v>5692.4879730209796</v>
      </c>
      <c r="G50" s="59">
        <f t="shared" si="10"/>
        <v>5860.3552013717272</v>
      </c>
      <c r="H50" s="59">
        <f t="shared" si="10"/>
        <v>6040.7426872155393</v>
      </c>
      <c r="I50" s="59">
        <f t="shared" si="10"/>
        <v>6234.5218672103711</v>
      </c>
    </row>
    <row r="51" spans="1:9" ht="15" thickBot="1">
      <c r="A51" s="60" t="s">
        <v>123</v>
      </c>
      <c r="B51" s="60"/>
      <c r="C51" s="61">
        <f>C50+C36</f>
        <v>13393.94</v>
      </c>
      <c r="D51" s="61">
        <f>D50+D36</f>
        <v>14845.74</v>
      </c>
      <c r="E51" s="61">
        <f t="shared" ref="E51:I51" si="11">E50+E36</f>
        <v>15503.128961251814</v>
      </c>
      <c r="F51" s="61">
        <f t="shared" si="11"/>
        <v>16309.104817383337</v>
      </c>
      <c r="G51" s="61">
        <f t="shared" si="11"/>
        <v>17165.604808132048</v>
      </c>
      <c r="H51" s="61">
        <f t="shared" si="11"/>
        <v>18070.432390801288</v>
      </c>
      <c r="I51" s="61">
        <f t="shared" si="11"/>
        <v>19021.283983791152</v>
      </c>
    </row>
    <row r="53" spans="1:9">
      <c r="E53" s="58">
        <f>E51-E30</f>
        <v>0.5499999999992724</v>
      </c>
      <c r="F53" s="58">
        <f>F51-F30</f>
        <v>0.5499999999992724</v>
      </c>
      <c r="G53" s="58">
        <f>G51-G30</f>
        <v>0.5499999999992724</v>
      </c>
      <c r="H53" s="58">
        <f>H51-H30</f>
        <v>0.55000000000291038</v>
      </c>
      <c r="I53" s="58">
        <f>I51-I30</f>
        <v>0.55000000000291038</v>
      </c>
    </row>
    <row r="57" spans="1:9">
      <c r="A57" s="25" t="s">
        <v>151</v>
      </c>
      <c r="C57" s="22">
        <f>C18/SUM('Financial Statements'!C4:C7)</f>
        <v>0.17104941539295287</v>
      </c>
      <c r="D57" s="22">
        <f>D18/SUM('Financial Statements'!D4:D7)</f>
        <v>0.15716886159478094</v>
      </c>
      <c r="E57" s="22">
        <f>AVERAGE(C57:D57)</f>
        <v>0.16410913849386691</v>
      </c>
      <c r="F57" s="22">
        <f>E57</f>
        <v>0.16410913849386691</v>
      </c>
      <c r="G57" s="22">
        <f t="shared" ref="G57:I57" si="12">F57</f>
        <v>0.16410913849386691</v>
      </c>
      <c r="H57" s="22">
        <f t="shared" si="12"/>
        <v>0.16410913849386691</v>
      </c>
      <c r="I57" s="22">
        <f t="shared" si="12"/>
        <v>0.16410913849386691</v>
      </c>
    </row>
    <row r="58" spans="1:9">
      <c r="A58" s="25" t="s">
        <v>152</v>
      </c>
      <c r="C58" s="22">
        <f>C21/'Financial Statements'!C2</f>
        <v>4.7981497813214299E-2</v>
      </c>
      <c r="D58" s="22">
        <f>D21/'Financial Statements'!D2</f>
        <v>4.9648937867444787E-2</v>
      </c>
      <c r="E58" s="22">
        <f>AVERAGE(C58:D58)</f>
        <v>4.8815217840329543E-2</v>
      </c>
      <c r="F58" s="22">
        <f t="shared" ref="F58:I58" si="13">E58</f>
        <v>4.8815217840329543E-2</v>
      </c>
      <c r="G58" s="22">
        <f t="shared" si="13"/>
        <v>4.8815217840329543E-2</v>
      </c>
      <c r="H58" s="22">
        <f t="shared" si="13"/>
        <v>4.8815217840329543E-2</v>
      </c>
      <c r="I58" s="22">
        <f t="shared" si="13"/>
        <v>4.8815217840329543E-2</v>
      </c>
    </row>
    <row r="59" spans="1:9">
      <c r="A59" s="25" t="s">
        <v>153</v>
      </c>
      <c r="C59" s="22">
        <f>C44/SUM('Financial Statements'!C4:C7)</f>
        <v>0.17577878933055474</v>
      </c>
      <c r="D59" s="22">
        <f>D44/SUM('Financial Statements'!D4:D7)</f>
        <v>0.202923910526145</v>
      </c>
      <c r="E59" s="22">
        <f>AVERAGE(C59:D59)</f>
        <v>0.18935134992834987</v>
      </c>
      <c r="F59" s="22">
        <f t="shared" ref="F59:I59" si="14">E59</f>
        <v>0.18935134992834987</v>
      </c>
      <c r="G59" s="22">
        <f t="shared" si="14"/>
        <v>0.18935134992834987</v>
      </c>
      <c r="H59" s="22">
        <f t="shared" si="14"/>
        <v>0.18935134992834987</v>
      </c>
      <c r="I59" s="22">
        <f t="shared" si="14"/>
        <v>0.18935134992834987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5" workbookViewId="0">
      <selection activeCell="H27" sqref="H27"/>
    </sheetView>
  </sheetViews>
  <sheetFormatPr baseColWidth="10" defaultColWidth="8.83203125" defaultRowHeight="14" x14ac:dyDescent="0"/>
  <cols>
    <col min="1" max="1" width="22.6640625" bestFit="1" customWidth="1"/>
    <col min="2" max="2" width="10.5" bestFit="1" customWidth="1"/>
    <col min="6" max="6" width="10.5" bestFit="1" customWidth="1"/>
    <col min="11" max="11" width="8.83203125" style="33"/>
  </cols>
  <sheetData>
    <row r="1" spans="1:7"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</row>
    <row r="2" spans="1:7">
      <c r="A2" s="25" t="s">
        <v>79</v>
      </c>
      <c r="B2" s="26">
        <f>'Financial Statements'!E12</f>
        <v>1391.3260623371516</v>
      </c>
      <c r="C2" s="26">
        <f>'Financial Statements'!F12</f>
        <v>1480.0602031281833</v>
      </c>
      <c r="D2" s="26">
        <f>'Financial Statements'!G12</f>
        <v>1562.5954618455537</v>
      </c>
      <c r="E2" s="26">
        <f>'Financial Statements'!H12</f>
        <v>1638.7235296322924</v>
      </c>
      <c r="F2" s="26">
        <f>'Financial Statements'!I12</f>
        <v>1708.1013600996944</v>
      </c>
    </row>
    <row r="3" spans="1:7">
      <c r="A3" s="38" t="s">
        <v>157</v>
      </c>
      <c r="B3" s="66">
        <f>B2*'Financial Statements'!E16</f>
        <v>381.49119160797812</v>
      </c>
      <c r="C3" s="66">
        <f>C2*'Financial Statements'!F16</f>
        <v>405.82142879897657</v>
      </c>
      <c r="D3" s="66">
        <f>D2*'Financial Statements'!G16</f>
        <v>428.45197892672405</v>
      </c>
      <c r="E3" s="66">
        <f>E2*'Financial Statements'!H16</f>
        <v>449.32572526192229</v>
      </c>
      <c r="F3" s="66">
        <f>F2*'Financial Statements'!I16</f>
        <v>468.34860705264077</v>
      </c>
    </row>
    <row r="4" spans="1:7">
      <c r="A4" s="25" t="s">
        <v>158</v>
      </c>
      <c r="B4" s="26">
        <f t="shared" ref="B4:F4" si="0">B2-B3</f>
        <v>1009.8348707291734</v>
      </c>
      <c r="C4" s="26">
        <f t="shared" si="0"/>
        <v>1074.2387743292068</v>
      </c>
      <c r="D4" s="26">
        <f t="shared" si="0"/>
        <v>1134.1434829188297</v>
      </c>
      <c r="E4" s="26">
        <f t="shared" si="0"/>
        <v>1189.3978043703701</v>
      </c>
      <c r="F4" s="26">
        <f t="shared" si="0"/>
        <v>1239.7527530470536</v>
      </c>
    </row>
    <row r="6" spans="1:7">
      <c r="A6" s="25" t="s">
        <v>159</v>
      </c>
      <c r="B6" s="41">
        <f>'Financial Statements'!E11</f>
        <v>582.6373910172789</v>
      </c>
      <c r="C6" s="41">
        <f>'Financial Statements'!F11</f>
        <v>566.09197646675409</v>
      </c>
      <c r="D6" s="41">
        <f>'Financial Statements'!G11</f>
        <v>554.09829518371839</v>
      </c>
      <c r="E6" s="41">
        <f>'Financial Statements'!H11</f>
        <v>546.32291368908591</v>
      </c>
      <c r="F6" s="41">
        <f>'Financial Statements'!I11</f>
        <v>542.50725189191655</v>
      </c>
    </row>
    <row r="7" spans="1:7">
      <c r="A7" s="25" t="s">
        <v>160</v>
      </c>
      <c r="B7" s="41">
        <f>-'Asset schedule'!P2</f>
        <v>-406.84044303797475</v>
      </c>
      <c r="C7" s="41">
        <f>-'Asset schedule'!Q2</f>
        <v>-437.73018037974697</v>
      </c>
      <c r="D7" s="41">
        <f>-'Asset schedule'!R2</f>
        <v>-470.69179034810139</v>
      </c>
      <c r="E7" s="41">
        <f>-'Asset schedule'!S2</f>
        <v>-505.85523586234189</v>
      </c>
      <c r="F7" s="41">
        <f>-'Asset schedule'!T2</f>
        <v>-543.35829645213641</v>
      </c>
    </row>
    <row r="8" spans="1:7">
      <c r="A8" s="38" t="s">
        <v>161</v>
      </c>
      <c r="B8" s="66">
        <f>'Financial Statements'!O18+'Financial Statements'!O19+'Financial Statements'!O20</f>
        <v>-199.56031955338267</v>
      </c>
      <c r="C8" s="66">
        <f>'Financial Statements'!P18+'Financial Statements'!P19+'Financial Statements'!P20</f>
        <v>-32.704550840383263</v>
      </c>
      <c r="D8" s="66">
        <f>'Financial Statements'!Q18+'Financial Statements'!Q19+'Financial Statements'!Q20</f>
        <v>-34.734350145147687</v>
      </c>
      <c r="E8" s="66">
        <f>'Financial Statements'!R18+'Financial Statements'!R19+'Financial Statements'!R20</f>
        <v>-36.880406504267967</v>
      </c>
      <c r="F8" s="66">
        <f>'Financial Statements'!S18+'Financial Statements'!S19+'Financial Statements'!S20</f>
        <v>-39.149023049967013</v>
      </c>
    </row>
    <row r="9" spans="1:7">
      <c r="A9" s="36" t="s">
        <v>162</v>
      </c>
      <c r="B9" s="67">
        <f>SUM(B4:B8)</f>
        <v>986.0714991550949</v>
      </c>
      <c r="C9" s="67">
        <f t="shared" ref="C9:F9" si="1">SUM(C4:C8)</f>
        <v>1169.8960195758305</v>
      </c>
      <c r="D9" s="67">
        <f t="shared" si="1"/>
        <v>1182.8156376092988</v>
      </c>
      <c r="E9" s="67">
        <f t="shared" si="1"/>
        <v>1192.9850756928461</v>
      </c>
      <c r="F9" s="67">
        <f t="shared" si="1"/>
        <v>1199.7526854368666</v>
      </c>
    </row>
    <row r="10" spans="1:7">
      <c r="A10" s="71" t="s">
        <v>180</v>
      </c>
      <c r="B10" s="72"/>
      <c r="C10" s="72"/>
      <c r="D10" s="72"/>
      <c r="E10" s="72"/>
      <c r="F10" s="73">
        <f>F9*(1+B27)/(H21-B27)</f>
        <v>11152.955745407235</v>
      </c>
      <c r="G10" s="25" t="s">
        <v>187</v>
      </c>
    </row>
    <row r="11" spans="1:7">
      <c r="A11" s="46" t="s">
        <v>186</v>
      </c>
      <c r="B11" s="41">
        <f>SUM(B9:B10)</f>
        <v>986.0714991550949</v>
      </c>
      <c r="C11" s="41">
        <f t="shared" ref="C11:F11" si="2">SUM(C9:C10)</f>
        <v>1169.8960195758305</v>
      </c>
      <c r="D11" s="41">
        <f t="shared" si="2"/>
        <v>1182.8156376092988</v>
      </c>
      <c r="E11" s="41">
        <f t="shared" si="2"/>
        <v>1192.9850756928461</v>
      </c>
      <c r="F11" s="41">
        <f t="shared" si="2"/>
        <v>12352.708430844101</v>
      </c>
    </row>
    <row r="14" spans="1:7">
      <c r="A14" s="10" t="s">
        <v>163</v>
      </c>
      <c r="B14" s="22">
        <v>0</v>
      </c>
    </row>
    <row r="15" spans="1:7">
      <c r="A15" s="10" t="s">
        <v>164</v>
      </c>
      <c r="B15" s="22">
        <f>B17+B18*(B19-B17)</f>
        <v>0.1407998</v>
      </c>
      <c r="C15" s="10" t="s">
        <v>166</v>
      </c>
      <c r="D15" s="10" t="s">
        <v>165</v>
      </c>
    </row>
    <row r="17" spans="1:15">
      <c r="A17" s="10" t="s">
        <v>167</v>
      </c>
      <c r="B17" s="68">
        <v>7.8E-2</v>
      </c>
      <c r="C17" s="10" t="s">
        <v>172</v>
      </c>
    </row>
    <row r="18" spans="1:15">
      <c r="A18" s="10" t="s">
        <v>168</v>
      </c>
      <c r="B18">
        <v>1.0128999999999999</v>
      </c>
      <c r="C18" s="10" t="s">
        <v>170</v>
      </c>
      <c r="D18" s="10" t="s">
        <v>171</v>
      </c>
    </row>
    <row r="19" spans="1:15">
      <c r="A19" s="10" t="s">
        <v>169</v>
      </c>
      <c r="B19" s="22">
        <v>0.14000000000000001</v>
      </c>
      <c r="C19" s="10" t="s">
        <v>173</v>
      </c>
    </row>
    <row r="21" spans="1:15">
      <c r="A21" s="10" t="s">
        <v>135</v>
      </c>
      <c r="B21">
        <v>0</v>
      </c>
      <c r="D21" s="10" t="s">
        <v>176</v>
      </c>
      <c r="E21" s="27">
        <f>B21/(B21+B22)</f>
        <v>0</v>
      </c>
      <c r="G21" s="10" t="s">
        <v>178</v>
      </c>
      <c r="H21" s="22">
        <f>B15*E22+B14*E21*(1-'Financial Statements'!D16)</f>
        <v>0.1407998</v>
      </c>
    </row>
    <row r="22" spans="1:15">
      <c r="A22" s="10" t="s">
        <v>7</v>
      </c>
      <c r="B22" s="45">
        <f>B24*B25</f>
        <v>27310.415000000001</v>
      </c>
      <c r="D22" s="10" t="s">
        <v>177</v>
      </c>
      <c r="E22" s="22">
        <f>B22/(B21+B22)</f>
        <v>1</v>
      </c>
    </row>
    <row r="23" spans="1:15">
      <c r="G23" s="10" t="s">
        <v>181</v>
      </c>
      <c r="H23" s="70">
        <f>NPV(H21,B11:F11)</f>
        <v>9657.5085227259551</v>
      </c>
      <c r="I23" s="10" t="s">
        <v>182</v>
      </c>
    </row>
    <row r="24" spans="1:15">
      <c r="A24" s="10" t="s">
        <v>174</v>
      </c>
      <c r="B24">
        <v>1460.45</v>
      </c>
      <c r="G24" s="10" t="s">
        <v>138</v>
      </c>
      <c r="H24">
        <f>'Balance Sheet'!D22</f>
        <v>2559.66</v>
      </c>
    </row>
    <row r="25" spans="1:15">
      <c r="A25" s="10" t="s">
        <v>175</v>
      </c>
      <c r="B25">
        <v>18.7</v>
      </c>
      <c r="G25" s="10" t="s">
        <v>184</v>
      </c>
      <c r="H25" s="41">
        <f>H23+H24</f>
        <v>12217.168522725955</v>
      </c>
    </row>
    <row r="27" spans="1:15">
      <c r="A27" s="10" t="s">
        <v>179</v>
      </c>
      <c r="B27" s="22">
        <v>0.03</v>
      </c>
      <c r="G27" s="10" t="s">
        <v>183</v>
      </c>
      <c r="H27" s="41">
        <f>H25/B25</f>
        <v>653.3245199318693</v>
      </c>
    </row>
    <row r="29" spans="1:15">
      <c r="B29" s="69"/>
    </row>
    <row r="32" spans="1:15">
      <c r="B32" s="24" t="s">
        <v>15</v>
      </c>
      <c r="C32" s="24"/>
      <c r="D32" s="24"/>
      <c r="E32" s="24"/>
      <c r="F32" s="24"/>
      <c r="I32" s="41">
        <f>H27</f>
        <v>653.3245199318693</v>
      </c>
      <c r="J32" s="22">
        <v>0.12</v>
      </c>
      <c r="K32" s="22">
        <v>0.13</v>
      </c>
      <c r="L32" s="22">
        <v>0.14000000000000001</v>
      </c>
      <c r="M32" s="22">
        <v>0.15</v>
      </c>
      <c r="N32" s="22">
        <v>0.16</v>
      </c>
      <c r="O32" s="22">
        <v>0.17</v>
      </c>
    </row>
    <row r="33" spans="1:15">
      <c r="A33" s="10" t="s">
        <v>185</v>
      </c>
      <c r="B33" s="22">
        <v>0.05</v>
      </c>
      <c r="C33" s="22"/>
      <c r="D33" s="22"/>
      <c r="E33" s="22"/>
      <c r="F33" s="22"/>
      <c r="I33" s="22">
        <v>0.05</v>
      </c>
      <c r="J33" s="41">
        <f t="dataTable" ref="J33:O38" dt2D="1" dtr="1" r1="H21" r2="B33"/>
        <v>772.4391085312169</v>
      </c>
      <c r="K33" s="41">
        <v>708.99617095549206</v>
      </c>
      <c r="L33" s="41">
        <v>657.07316500739751</v>
      </c>
      <c r="M33" s="41">
        <v>613.79094188202191</v>
      </c>
      <c r="N33" s="41">
        <v>577.156197456516</v>
      </c>
      <c r="O33" s="41">
        <v>545.74510214323379</v>
      </c>
    </row>
    <row r="34" spans="1:15">
      <c r="I34" s="22">
        <f>I33+1%</f>
        <v>6.0000000000000005E-2</v>
      </c>
      <c r="J34" s="41">
        <v>793.08566590737951</v>
      </c>
      <c r="K34" s="41">
        <v>727.25271969664141</v>
      </c>
      <c r="L34" s="41">
        <v>673.38422380107272</v>
      </c>
      <c r="M34" s="41">
        <v>628.48949462342637</v>
      </c>
      <c r="N34" s="41">
        <v>590.49803178477043</v>
      </c>
      <c r="O34" s="41">
        <v>557.93088304089315</v>
      </c>
    </row>
    <row r="35" spans="1:15">
      <c r="I35" s="22">
        <f t="shared" ref="I35:I38" si="3">I34+1%</f>
        <v>7.0000000000000007E-2</v>
      </c>
      <c r="J35" s="41">
        <v>814.36960418083436</v>
      </c>
      <c r="K35" s="41">
        <v>746.06777923968161</v>
      </c>
      <c r="L35" s="41">
        <v>690.18977903926327</v>
      </c>
      <c r="M35" s="41">
        <v>643.62964900694465</v>
      </c>
      <c r="N35" s="41">
        <v>604.23710706897259</v>
      </c>
      <c r="O35" s="41">
        <v>570.47623258119995</v>
      </c>
    </row>
    <row r="36" spans="1:15">
      <c r="I36" s="22">
        <f t="shared" si="3"/>
        <v>0.08</v>
      </c>
      <c r="J36" s="41">
        <v>836.3059419573533</v>
      </c>
      <c r="K36" s="41">
        <v>765.45445032719408</v>
      </c>
      <c r="L36" s="41">
        <v>707.50137750926262</v>
      </c>
      <c r="M36" s="41">
        <v>659.22167011184501</v>
      </c>
      <c r="N36" s="41">
        <v>618.38261550657171</v>
      </c>
      <c r="O36" s="41">
        <v>583.38943363673752</v>
      </c>
    </row>
    <row r="37" spans="1:15">
      <c r="I37" s="22">
        <f t="shared" si="3"/>
        <v>0.09</v>
      </c>
      <c r="J37" s="41">
        <v>858.90993030401307</v>
      </c>
      <c r="K37" s="41">
        <v>785.42603594502964</v>
      </c>
      <c r="L37" s="41">
        <v>725.33074378419326</v>
      </c>
      <c r="M37" s="41">
        <v>675.27598065390453</v>
      </c>
      <c r="N37" s="41">
        <v>632.94389008543578</v>
      </c>
      <c r="O37" s="41">
        <v>596.67889561044592</v>
      </c>
    </row>
    <row r="38" spans="1:15">
      <c r="I38" s="22">
        <f t="shared" si="3"/>
        <v>9.9999999999999992E-2</v>
      </c>
      <c r="J38" s="41">
        <v>882.19705448929165</v>
      </c>
      <c r="K38" s="41">
        <v>805.99604283369149</v>
      </c>
      <c r="L38" s="41">
        <v>743.68978154941249</v>
      </c>
      <c r="M38" s="41">
        <v>691.8031621595386</v>
      </c>
      <c r="N38" s="41">
        <v>647.93040563077</v>
      </c>
      <c r="O38" s="41">
        <v>610.3531553749483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workbookViewId="0">
      <selection activeCell="I32" sqref="I32"/>
    </sheetView>
  </sheetViews>
  <sheetFormatPr baseColWidth="10" defaultColWidth="8.83203125" defaultRowHeight="14" x14ac:dyDescent="0"/>
  <cols>
    <col min="2" max="2" width="10.5" bestFit="1" customWidth="1"/>
    <col min="3" max="3" width="9.5" bestFit="1" customWidth="1"/>
    <col min="6" max="9" width="10.5" bestFit="1" customWidth="1"/>
    <col min="10" max="10" width="11" bestFit="1" customWidth="1"/>
    <col min="11" max="13" width="10.5" bestFit="1" customWidth="1"/>
    <col min="14" max="15" width="9.5" bestFit="1" customWidth="1"/>
    <col min="16" max="17" width="10.5" bestFit="1" customWidth="1"/>
  </cols>
  <sheetData>
    <row r="1" spans="1:17">
      <c r="B1" s="93" t="s">
        <v>10</v>
      </c>
      <c r="C1" s="93"/>
      <c r="D1" s="93"/>
      <c r="E1" s="93"/>
      <c r="F1" s="93" t="s">
        <v>8</v>
      </c>
      <c r="G1" s="93"/>
      <c r="H1" s="93"/>
      <c r="I1" s="93"/>
      <c r="J1" s="93" t="s">
        <v>188</v>
      </c>
      <c r="K1" s="93"/>
      <c r="L1" s="93"/>
      <c r="M1" s="93"/>
      <c r="N1" s="93" t="s">
        <v>189</v>
      </c>
      <c r="O1" s="93"/>
      <c r="P1" s="93"/>
      <c r="Q1" s="93"/>
    </row>
    <row r="2" spans="1:17">
      <c r="B2" s="36">
        <v>2017</v>
      </c>
      <c r="C2" s="36">
        <v>2018</v>
      </c>
      <c r="D2" s="36">
        <v>2019</v>
      </c>
      <c r="E2" s="36">
        <v>2020</v>
      </c>
      <c r="F2" s="36">
        <v>2017</v>
      </c>
      <c r="G2" s="36">
        <v>2018</v>
      </c>
      <c r="H2" s="36">
        <v>2019</v>
      </c>
      <c r="I2" s="36">
        <v>2020</v>
      </c>
      <c r="J2" s="36">
        <v>2017</v>
      </c>
      <c r="K2" s="36">
        <v>2018</v>
      </c>
      <c r="L2" s="36">
        <v>2019</v>
      </c>
      <c r="M2" s="36">
        <v>2020</v>
      </c>
      <c r="N2" s="36">
        <v>2017</v>
      </c>
      <c r="O2" s="36">
        <v>2018</v>
      </c>
      <c r="P2" s="36">
        <v>2019</v>
      </c>
      <c r="Q2" s="36">
        <v>2020</v>
      </c>
    </row>
    <row r="3" spans="1:17">
      <c r="A3" s="74" t="s">
        <v>190</v>
      </c>
      <c r="B3" s="48">
        <f>'Financial Statements'!D17/Relative!$B$8</f>
        <v>48.505347593582805</v>
      </c>
      <c r="C3" s="48">
        <f>'Financial Statements'!E17/Relative!$B$8</f>
        <v>50.177596748073533</v>
      </c>
      <c r="D3" s="48">
        <f>'Financial Statements'!F17/Relative!$B$8</f>
        <v>53.621655764118088</v>
      </c>
      <c r="E3" s="48">
        <f>'Financial Statements'!G17/Relative!$B$8</f>
        <v>56.825116116504347</v>
      </c>
      <c r="F3" s="33">
        <v>80.900000000000006</v>
      </c>
      <c r="G3" s="33">
        <v>104</v>
      </c>
      <c r="H3" s="33">
        <v>137</v>
      </c>
      <c r="I3" s="33">
        <v>171</v>
      </c>
      <c r="J3" s="33">
        <v>6.29</v>
      </c>
      <c r="K3" s="33">
        <v>6.84</v>
      </c>
      <c r="L3" s="33">
        <v>8.15</v>
      </c>
      <c r="M3" s="33">
        <v>9.1</v>
      </c>
      <c r="N3" s="33">
        <v>59.9</v>
      </c>
      <c r="O3" s="33">
        <v>32.1</v>
      </c>
      <c r="P3" s="33">
        <v>57.3</v>
      </c>
      <c r="Q3" s="33">
        <v>58.9</v>
      </c>
    </row>
    <row r="4" spans="1:17">
      <c r="A4" s="74" t="s">
        <v>6</v>
      </c>
      <c r="B4" s="45">
        <f>'Financial Statements'!D2</f>
        <v>13413.58</v>
      </c>
      <c r="C4" s="45">
        <f>'Financial Statements'!E2</f>
        <v>14440.822518987343</v>
      </c>
      <c r="D4" s="45">
        <f>'Financial Statements'!F2</f>
        <v>15537.255339873422</v>
      </c>
      <c r="E4" s="45">
        <f>'Financial Statements'!G2</f>
        <v>16707.229386550636</v>
      </c>
      <c r="F4" s="45">
        <v>32304.6</v>
      </c>
      <c r="G4" s="45">
        <v>36502.9</v>
      </c>
      <c r="H4" s="45">
        <v>42844.3</v>
      </c>
      <c r="I4" s="45">
        <v>47414.1</v>
      </c>
      <c r="J4" s="45">
        <v>10446.9</v>
      </c>
      <c r="K4" s="45">
        <v>11454.7</v>
      </c>
      <c r="L4" s="45">
        <v>12499.4</v>
      </c>
      <c r="M4" s="45">
        <v>13725.6</v>
      </c>
      <c r="N4" s="45">
        <v>8608.7999999999993</v>
      </c>
      <c r="O4" s="45">
        <v>9801</v>
      </c>
      <c r="P4" s="45">
        <v>11238</v>
      </c>
      <c r="Q4" s="45">
        <v>12870.2</v>
      </c>
    </row>
    <row r="5" spans="1:17">
      <c r="A5" s="74" t="s">
        <v>50</v>
      </c>
      <c r="B5" s="26">
        <f>'Financial Statements'!D10</f>
        <v>2034.7499999999982</v>
      </c>
      <c r="C5" s="26">
        <f>'Financial Statements'!E10</f>
        <v>1973.9634533544304</v>
      </c>
      <c r="D5" s="26">
        <f>'Financial Statements'!F10</f>
        <v>2046.1521795949375</v>
      </c>
      <c r="E5" s="26">
        <f>'Financial Statements'!G10</f>
        <v>2116.6937570292721</v>
      </c>
      <c r="F5" s="45">
        <v>6145.2</v>
      </c>
      <c r="G5" s="45">
        <v>6794.3</v>
      </c>
      <c r="H5" s="45">
        <v>8412.2000000000007</v>
      </c>
      <c r="I5" s="45">
        <v>9651.1</v>
      </c>
      <c r="J5" s="45">
        <v>1940.1</v>
      </c>
      <c r="K5" s="45">
        <v>2104.5</v>
      </c>
      <c r="L5" s="45">
        <v>2439.1</v>
      </c>
      <c r="M5" s="45">
        <v>2746.9</v>
      </c>
      <c r="N5" s="45">
        <v>2026.4</v>
      </c>
      <c r="O5" s="45">
        <v>2122.8000000000002</v>
      </c>
      <c r="P5" s="45">
        <v>2520.6999999999998</v>
      </c>
      <c r="Q5" s="45">
        <v>2851.9</v>
      </c>
    </row>
    <row r="6" spans="1:17">
      <c r="A6" s="74" t="s">
        <v>135</v>
      </c>
      <c r="B6">
        <v>0</v>
      </c>
      <c r="C6" s="33"/>
      <c r="D6" s="33"/>
      <c r="E6" s="33"/>
      <c r="F6" s="45">
        <f>15863+2763</f>
        <v>18626</v>
      </c>
      <c r="G6" s="45"/>
      <c r="H6" s="45"/>
      <c r="I6" s="45"/>
      <c r="J6" s="33">
        <v>24</v>
      </c>
      <c r="N6" s="45">
        <v>5967.8</v>
      </c>
      <c r="O6" s="33"/>
      <c r="P6" s="33"/>
      <c r="Q6" s="33"/>
    </row>
    <row r="7" spans="1:17">
      <c r="A7" s="74" t="s">
        <v>138</v>
      </c>
      <c r="B7" s="45">
        <f>'Balance Sheet'!D22</f>
        <v>2559.66</v>
      </c>
      <c r="F7" s="45">
        <v>218</v>
      </c>
      <c r="J7">
        <v>6231</v>
      </c>
      <c r="N7" s="45">
        <v>353</v>
      </c>
    </row>
    <row r="8" spans="1:17">
      <c r="A8" s="74" t="s">
        <v>191</v>
      </c>
      <c r="B8">
        <v>18.7</v>
      </c>
      <c r="F8" s="75">
        <v>27.4</v>
      </c>
      <c r="J8">
        <v>198.5</v>
      </c>
      <c r="N8" s="75">
        <v>8.8000000000000007</v>
      </c>
    </row>
    <row r="9" spans="1:17">
      <c r="A9" s="74" t="s">
        <v>174</v>
      </c>
      <c r="B9">
        <v>1758</v>
      </c>
      <c r="F9" s="45">
        <v>3950</v>
      </c>
      <c r="J9">
        <v>233</v>
      </c>
      <c r="N9" s="45">
        <v>2874</v>
      </c>
    </row>
    <row r="11" spans="1:17">
      <c r="P11" s="10" t="s">
        <v>202</v>
      </c>
      <c r="Q11" s="10" t="s">
        <v>203</v>
      </c>
    </row>
    <row r="12" spans="1:17">
      <c r="A12" s="74" t="s">
        <v>181</v>
      </c>
      <c r="B12" s="27">
        <f>(B9*B8)+B6-B7</f>
        <v>30314.94</v>
      </c>
      <c r="F12" s="27">
        <f>(F9*F8)+F6-F7</f>
        <v>126638</v>
      </c>
      <c r="J12" s="27">
        <f>(J9*J8)+J6-J7</f>
        <v>40043.5</v>
      </c>
      <c r="N12" s="27">
        <f>(N9*N8)+N6-N7</f>
        <v>30906</v>
      </c>
      <c r="P12" s="27">
        <f>AVERAGE(B12,F12,J12,N12)</f>
        <v>56975.61</v>
      </c>
      <c r="Q12" s="27">
        <f>MEDIAN(B12,F12,J12,N12)</f>
        <v>35474.75</v>
      </c>
    </row>
    <row r="13" spans="1:17">
      <c r="A13" s="74" t="s">
        <v>46</v>
      </c>
      <c r="B13" s="49">
        <f>(E4/B4)^(1/3)-1</f>
        <v>7.5936342607292096E-2</v>
      </c>
      <c r="F13" s="49">
        <f>(I4/F4)^(1/3)-1</f>
        <v>0.1364431479867485</v>
      </c>
      <c r="J13" s="49">
        <f>(M4/J4)^(1/3)-1</f>
        <v>9.5253459340860935E-2</v>
      </c>
      <c r="N13" s="49">
        <f>(Q4/N4)^(1/3)-1</f>
        <v>0.14344222503830428</v>
      </c>
      <c r="P13" s="27">
        <f t="shared" ref="P13:P16" si="0">AVERAGE(B13,F13,J13,N13)</f>
        <v>0.11276879374330145</v>
      </c>
      <c r="Q13" s="27">
        <f t="shared" ref="Q13:Q25" si="1">MEDIAN(B13,F13,J13,N13)</f>
        <v>0.11584830366380472</v>
      </c>
    </row>
    <row r="14" spans="1:17">
      <c r="A14" s="74" t="s">
        <v>192</v>
      </c>
      <c r="B14" s="48">
        <f>B9/B3</f>
        <v>36.24342649247567</v>
      </c>
      <c r="F14" s="48">
        <f>F9/F3</f>
        <v>48.825710754017301</v>
      </c>
      <c r="J14" s="48">
        <f>J9/J3</f>
        <v>37.042925278219393</v>
      </c>
      <c r="N14" s="48">
        <f>N9/N3</f>
        <v>47.979966611018362</v>
      </c>
      <c r="P14" s="27">
        <f t="shared" si="0"/>
        <v>42.523007283932685</v>
      </c>
      <c r="Q14" s="27">
        <f t="shared" si="1"/>
        <v>42.511445944618877</v>
      </c>
    </row>
    <row r="15" spans="1:17">
      <c r="A15" s="74" t="s">
        <v>193</v>
      </c>
      <c r="B15" s="48">
        <f>B9/(B4/B8)</f>
        <v>2.4508445918241062</v>
      </c>
      <c r="F15" s="48">
        <f>F9/(F4/F8)</f>
        <v>3.3502968617472435</v>
      </c>
      <c r="J15" s="48">
        <f>J9/(J4/J8)</f>
        <v>4.4271984990762814</v>
      </c>
      <c r="N15" s="48">
        <f>N9/(N4/N8)</f>
        <v>2.9378310565932537</v>
      </c>
      <c r="P15" s="27">
        <f t="shared" si="0"/>
        <v>3.291542752310221</v>
      </c>
      <c r="Q15" s="27">
        <f t="shared" si="1"/>
        <v>3.1440639591702486</v>
      </c>
    </row>
    <row r="16" spans="1:17">
      <c r="A16" s="74" t="s">
        <v>194</v>
      </c>
      <c r="B16" s="48">
        <f>B14/B13</f>
        <v>477.28696495049854</v>
      </c>
      <c r="F16" s="48">
        <f>F14/F13</f>
        <v>357.84655715184249</v>
      </c>
      <c r="J16" s="48">
        <f>J14/J13</f>
        <v>388.88797881515961</v>
      </c>
      <c r="N16" s="48">
        <f>N14/N13</f>
        <v>334.48983796930065</v>
      </c>
      <c r="P16" s="27">
        <f t="shared" si="0"/>
        <v>389.62783472170031</v>
      </c>
      <c r="Q16" s="27">
        <f t="shared" si="1"/>
        <v>373.36726798350105</v>
      </c>
    </row>
    <row r="17" spans="1:17">
      <c r="A17" s="74"/>
    </row>
    <row r="18" spans="1:17">
      <c r="A18" s="74" t="s">
        <v>195</v>
      </c>
      <c r="B18" s="48">
        <f>B9/C3</f>
        <v>35.035555983806553</v>
      </c>
      <c r="F18" s="48">
        <f>F9/G3</f>
        <v>37.980769230769234</v>
      </c>
      <c r="J18" s="48">
        <f>J9/K3</f>
        <v>34.064327485380119</v>
      </c>
      <c r="N18" s="48">
        <f>N9/O3</f>
        <v>89.532710280373834</v>
      </c>
      <c r="P18" s="27">
        <f>AVERAGE(B18,F18,J18,N18)</f>
        <v>49.153340745082431</v>
      </c>
      <c r="Q18" s="27">
        <f t="shared" si="1"/>
        <v>36.508162607287893</v>
      </c>
    </row>
    <row r="19" spans="1:17">
      <c r="A19" s="74" t="s">
        <v>196</v>
      </c>
      <c r="B19" s="47">
        <f>B9/(C4/B8)</f>
        <v>2.2765046767090467</v>
      </c>
      <c r="F19" s="47">
        <f>F9/(G4/F8)</f>
        <v>2.964969906500579</v>
      </c>
      <c r="J19" s="47">
        <f>J9/(K4/J8)</f>
        <v>4.0376875867547817</v>
      </c>
      <c r="N19" s="47">
        <f>N9/(O4/N8)</f>
        <v>2.5804713804713804</v>
      </c>
      <c r="P19" s="27">
        <f>AVERAGE(B19,F19,J19,N19)</f>
        <v>2.964908387608947</v>
      </c>
      <c r="Q19" s="27">
        <f t="shared" si="1"/>
        <v>2.7727206434859797</v>
      </c>
    </row>
    <row r="20" spans="1:17">
      <c r="A20" s="74" t="s">
        <v>197</v>
      </c>
      <c r="B20" s="48">
        <f>B18/B13</f>
        <v>461.38060882118549</v>
      </c>
      <c r="F20" s="48">
        <f>F18/F13</f>
        <v>278.36333147676982</v>
      </c>
      <c r="J20" s="48">
        <f>J18/J13</f>
        <v>357.61774660049036</v>
      </c>
      <c r="N20" s="48">
        <f>N18/N13</f>
        <v>624.17262599255798</v>
      </c>
      <c r="P20" s="27">
        <f>AVERAGE(B20,F20,J20,N20)</f>
        <v>430.38357822275088</v>
      </c>
      <c r="Q20" s="27">
        <f t="shared" si="1"/>
        <v>409.4991777108379</v>
      </c>
    </row>
    <row r="21" spans="1:17">
      <c r="A21" s="74"/>
    </row>
    <row r="22" spans="1:17">
      <c r="A22" s="74" t="s">
        <v>198</v>
      </c>
      <c r="B22" s="48">
        <f>B12/B5</f>
        <v>14.898606708440854</v>
      </c>
      <c r="F22" s="48">
        <f>F12/F5</f>
        <v>20.607628718349282</v>
      </c>
      <c r="J22" s="48">
        <f>J12/J5</f>
        <v>20.639915468274832</v>
      </c>
      <c r="N22" s="48">
        <f>N12/N5</f>
        <v>15.251677852348992</v>
      </c>
      <c r="P22" s="27">
        <f t="shared" ref="P22:P25" si="2">AVERAGE(B22,F22,J22,N22)</f>
        <v>17.849457186853488</v>
      </c>
      <c r="Q22" s="27">
        <f t="shared" si="1"/>
        <v>17.929653285349136</v>
      </c>
    </row>
    <row r="23" spans="1:17">
      <c r="A23" s="74" t="s">
        <v>199</v>
      </c>
      <c r="B23" s="48">
        <f>B12/B4</f>
        <v>2.2600185781871804</v>
      </c>
      <c r="F23" s="48">
        <f>F12/F4</f>
        <v>3.9201228308042819</v>
      </c>
      <c r="J23" s="48">
        <f>J12/J4</f>
        <v>3.8330509529142618</v>
      </c>
      <c r="N23" s="48">
        <f>N12/N4</f>
        <v>3.5900473933649293</v>
      </c>
      <c r="P23" s="27">
        <f t="shared" si="2"/>
        <v>3.4008099388176634</v>
      </c>
      <c r="Q23" s="27">
        <f t="shared" si="1"/>
        <v>3.7115491731395958</v>
      </c>
    </row>
    <row r="24" spans="1:17">
      <c r="A24" s="74" t="s">
        <v>200</v>
      </c>
      <c r="B24" s="48">
        <f>B12/C5</f>
        <v>15.357396788924678</v>
      </c>
      <c r="F24" s="48">
        <f>F12/G5</f>
        <v>18.638859043610083</v>
      </c>
      <c r="J24" s="48">
        <f>J12/K5</f>
        <v>19.027559990496556</v>
      </c>
      <c r="N24" s="48">
        <f>N12/O5</f>
        <v>14.559072922555115</v>
      </c>
      <c r="P24" s="27">
        <f t="shared" si="2"/>
        <v>16.895722186396608</v>
      </c>
      <c r="Q24" s="27">
        <f t="shared" si="1"/>
        <v>16.998127916267379</v>
      </c>
    </row>
    <row r="25" spans="1:17">
      <c r="A25" s="74" t="s">
        <v>201</v>
      </c>
      <c r="B25" s="48">
        <f>B12/C4</f>
        <v>2.0992530003149588</v>
      </c>
      <c r="F25" s="48">
        <f>F12/G4</f>
        <v>3.4692586068504143</v>
      </c>
      <c r="J25" s="48">
        <f>J12/K4</f>
        <v>3.4958139453674035</v>
      </c>
      <c r="N25" s="48">
        <f>N12/O4</f>
        <v>3.1533516988062442</v>
      </c>
      <c r="P25" s="27">
        <f t="shared" si="2"/>
        <v>3.0544193128347552</v>
      </c>
      <c r="Q25" s="27">
        <f t="shared" si="1"/>
        <v>3.3113051528283295</v>
      </c>
    </row>
    <row r="28" spans="1:17">
      <c r="B28" s="10" t="s">
        <v>204</v>
      </c>
      <c r="C28" s="10" t="s">
        <v>205</v>
      </c>
      <c r="D28" s="10" t="s">
        <v>206</v>
      </c>
    </row>
    <row r="29" spans="1:17">
      <c r="A29" s="74" t="s">
        <v>192</v>
      </c>
      <c r="B29" s="27">
        <f>$Q$14*$B$3*0.8</f>
        <v>1649.6259697996356</v>
      </c>
      <c r="C29" s="27">
        <f>$Q$14*$B$3*1.2</f>
        <v>2474.4389546994535</v>
      </c>
      <c r="D29" s="22">
        <v>0.05</v>
      </c>
    </row>
    <row r="30" spans="1:17">
      <c r="A30" s="74" t="s">
        <v>193</v>
      </c>
      <c r="B30" s="27">
        <f>$Q$15*($B$4/$B$8)*0.8</f>
        <v>1804.199077708957</v>
      </c>
      <c r="C30" s="27">
        <f>$Q$15*($B$4/$B$8)*1.2</f>
        <v>2706.2986165634352</v>
      </c>
      <c r="D30" s="22">
        <v>0.05</v>
      </c>
      <c r="I30" s="94" t="s">
        <v>210</v>
      </c>
      <c r="J30" s="95"/>
    </row>
    <row r="31" spans="1:17">
      <c r="A31" s="74" t="s">
        <v>194</v>
      </c>
      <c r="B31" s="27">
        <f>$Q$16*$B$3*$B$13*0.8</f>
        <v>1100.1845100598057</v>
      </c>
      <c r="C31" s="27">
        <f>$Q$16*$B$3*$B$13*1.2</f>
        <v>1650.2767650897085</v>
      </c>
      <c r="D31" s="22">
        <v>0.05</v>
      </c>
      <c r="I31" s="76" t="s">
        <v>211</v>
      </c>
      <c r="J31" s="76" t="s">
        <v>212</v>
      </c>
    </row>
    <row r="32" spans="1:17">
      <c r="A32" s="74" t="s">
        <v>195</v>
      </c>
      <c r="B32" s="27">
        <f>$Q$18*$C$3*0.8</f>
        <v>1465.513489057271</v>
      </c>
      <c r="C32" s="27">
        <f>$Q$18*$C$3*1.2</f>
        <v>2198.2702335859062</v>
      </c>
      <c r="D32" s="22">
        <v>0.05</v>
      </c>
      <c r="I32" s="77">
        <f>SUMPRODUCT(B29:B40,D29:D40)</f>
        <v>1090.8537535181761</v>
      </c>
      <c r="J32" s="77">
        <f>SUMPRODUCT(C29:C40,D29:D40)</f>
        <v>1636.2806302772642</v>
      </c>
    </row>
    <row r="33" spans="1:4">
      <c r="A33" s="74" t="s">
        <v>196</v>
      </c>
      <c r="B33" s="27">
        <f>$Q$19*($C$4/$B$8)*0.8</f>
        <v>1712.9568644839962</v>
      </c>
      <c r="C33" s="27">
        <f>$Q$19*($C$4/$B$8)*1.2</f>
        <v>2569.4352967259942</v>
      </c>
      <c r="D33" s="22">
        <v>0.05</v>
      </c>
    </row>
    <row r="34" spans="1:4">
      <c r="A34" s="74" t="s">
        <v>197</v>
      </c>
      <c r="B34" s="27">
        <f>$Q$20*$C$3*$B$13*0.8</f>
        <v>1248.2528145341457</v>
      </c>
      <c r="C34" s="27">
        <f>$Q$20*$C$3*$B$13*1.2</f>
        <v>1872.3792218012181</v>
      </c>
      <c r="D34" s="22">
        <v>0.05</v>
      </c>
    </row>
    <row r="35" spans="1:4">
      <c r="A35" s="74" t="s">
        <v>198</v>
      </c>
      <c r="B35" s="45">
        <f>D45*0.8</f>
        <v>1670.2469314380376</v>
      </c>
      <c r="C35" s="45">
        <f>D45*1.2</f>
        <v>2505.3703971570562</v>
      </c>
      <c r="D35" s="22">
        <v>0.05</v>
      </c>
    </row>
    <row r="36" spans="1:4">
      <c r="A36" s="74" t="s">
        <v>199</v>
      </c>
      <c r="B36" s="45">
        <f t="shared" ref="B36:B38" si="3">D46*0.8</f>
        <v>2239.3506634370829</v>
      </c>
      <c r="C36" s="45">
        <f t="shared" ref="C36:C38" si="4">D46*1.2</f>
        <v>3359.0259951556241</v>
      </c>
      <c r="D36" s="22">
        <v>0.05</v>
      </c>
    </row>
    <row r="37" spans="1:4">
      <c r="A37" s="74" t="s">
        <v>200</v>
      </c>
      <c r="B37" s="45">
        <f t="shared" si="3"/>
        <v>1544.9558623382036</v>
      </c>
      <c r="C37" s="45">
        <f t="shared" si="4"/>
        <v>2317.4337935073049</v>
      </c>
      <c r="D37" s="22">
        <v>0.05</v>
      </c>
    </row>
    <row r="38" spans="1:4">
      <c r="A38" s="74" t="s">
        <v>201</v>
      </c>
      <c r="B38" s="45">
        <f t="shared" si="3"/>
        <v>2155.1927280514296</v>
      </c>
      <c r="C38" s="45">
        <f t="shared" si="4"/>
        <v>3232.7890920771447</v>
      </c>
      <c r="D38" s="22">
        <v>0.05</v>
      </c>
    </row>
    <row r="40" spans="1:4">
      <c r="A40" s="10" t="s">
        <v>209</v>
      </c>
      <c r="B40" s="45">
        <f>DCF!H27*0.8</f>
        <v>522.65961594549549</v>
      </c>
      <c r="C40" s="45">
        <f>DCF!H27*1.2</f>
        <v>783.98942391824312</v>
      </c>
      <c r="D40" s="22">
        <v>0.5</v>
      </c>
    </row>
    <row r="44" spans="1:4">
      <c r="B44" s="74" t="s">
        <v>181</v>
      </c>
      <c r="C44" s="74" t="s">
        <v>207</v>
      </c>
      <c r="D44" s="74" t="s">
        <v>208</v>
      </c>
    </row>
    <row r="45" spans="1:4">
      <c r="A45" s="74" t="s">
        <v>198</v>
      </c>
      <c r="B45" s="45">
        <f>Q22*B5</f>
        <v>36482.362022364119</v>
      </c>
      <c r="C45" s="27">
        <f>B45-$B$6+$B$7</f>
        <v>39042.022022364123</v>
      </c>
      <c r="D45" s="41">
        <f>C45/$B$8</f>
        <v>2087.8086642975468</v>
      </c>
    </row>
    <row r="46" spans="1:4">
      <c r="A46" s="74" t="s">
        <v>199</v>
      </c>
      <c r="B46" s="45">
        <f>Q23*B4</f>
        <v>49785.161757841815</v>
      </c>
      <c r="C46" s="27">
        <f t="shared" ref="C46:C48" si="5">B46-$B$6+$B$7</f>
        <v>52344.821757841812</v>
      </c>
      <c r="D46" s="41">
        <f t="shared" ref="D46:D48" si="6">C46/$B$8</f>
        <v>2799.1883292963535</v>
      </c>
    </row>
    <row r="47" spans="1:4">
      <c r="A47" s="74" t="s">
        <v>200</v>
      </c>
      <c r="B47" s="45">
        <f>Q24*C5</f>
        <v>33553.6832821555</v>
      </c>
      <c r="C47" s="27">
        <f t="shared" si="5"/>
        <v>36113.343282155503</v>
      </c>
      <c r="D47" s="41">
        <f t="shared" si="6"/>
        <v>1931.1948279227543</v>
      </c>
    </row>
    <row r="48" spans="1:4">
      <c r="A48" s="74" t="s">
        <v>201</v>
      </c>
      <c r="B48" s="45">
        <f>Q25*C4</f>
        <v>47817.970018202162</v>
      </c>
      <c r="C48" s="27">
        <f t="shared" si="5"/>
        <v>50377.630018202166</v>
      </c>
      <c r="D48" s="41">
        <f t="shared" si="6"/>
        <v>2693.9909100642872</v>
      </c>
    </row>
  </sheetData>
  <mergeCells count="5">
    <mergeCell ref="B1:E1"/>
    <mergeCell ref="F1:I1"/>
    <mergeCell ref="J1:M1"/>
    <mergeCell ref="N1:Q1"/>
    <mergeCell ref="I30:J30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K19" sqref="K19"/>
    </sheetView>
  </sheetViews>
  <sheetFormatPr baseColWidth="10" defaultColWidth="8.83203125" defaultRowHeight="14" x14ac:dyDescent="0"/>
  <cols>
    <col min="1" max="1" width="17.5" bestFit="1" customWidth="1"/>
  </cols>
  <sheetData>
    <row r="1" spans="1:26">
      <c r="A1" t="s">
        <v>0</v>
      </c>
      <c r="E1" s="32" t="s">
        <v>1</v>
      </c>
      <c r="F1" s="33"/>
      <c r="G1" s="33"/>
    </row>
    <row r="2" spans="1:26">
      <c r="E2" s="32" t="s">
        <v>2</v>
      </c>
      <c r="F2" s="33"/>
      <c r="G2" s="33"/>
    </row>
    <row r="3" spans="1:26">
      <c r="E3" s="32" t="s">
        <v>3</v>
      </c>
      <c r="F3" s="33"/>
      <c r="G3" s="33"/>
    </row>
    <row r="5" spans="1:26">
      <c r="A5" s="35" t="s">
        <v>4</v>
      </c>
      <c r="B5" s="90" t="s">
        <v>5</v>
      </c>
      <c r="C5" s="91"/>
      <c r="D5" s="92"/>
      <c r="E5" s="90" t="s">
        <v>6</v>
      </c>
      <c r="F5" s="91"/>
      <c r="G5" s="92"/>
      <c r="H5" s="90" t="s">
        <v>34</v>
      </c>
      <c r="I5" s="91"/>
      <c r="J5" s="92"/>
      <c r="K5" s="3"/>
      <c r="L5" s="3" t="s">
        <v>7</v>
      </c>
      <c r="M5" s="3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>
      <c r="A6" s="34"/>
      <c r="B6" s="4">
        <v>2015</v>
      </c>
      <c r="C6" s="4">
        <v>2016</v>
      </c>
      <c r="D6" s="4">
        <v>2017</v>
      </c>
      <c r="E6" s="4">
        <v>2015</v>
      </c>
      <c r="F6" s="4">
        <v>2016</v>
      </c>
      <c r="G6" s="4">
        <v>2017</v>
      </c>
      <c r="H6" s="4">
        <v>2015</v>
      </c>
      <c r="I6" s="4">
        <v>2016</v>
      </c>
      <c r="J6" s="4">
        <v>2017</v>
      </c>
      <c r="K6" s="4">
        <v>2015</v>
      </c>
      <c r="L6" s="4">
        <v>2016</v>
      </c>
      <c r="M6" s="4">
        <v>2017</v>
      </c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</row>
    <row r="7" spans="1:26">
      <c r="A7" s="5" t="s">
        <v>8</v>
      </c>
      <c r="B7" s="6">
        <v>2370</v>
      </c>
      <c r="C7" s="6">
        <v>2628</v>
      </c>
      <c r="D7" s="6">
        <v>2231</v>
      </c>
      <c r="E7" s="6">
        <v>29535.1</v>
      </c>
      <c r="F7" s="6">
        <v>30669.45</v>
      </c>
      <c r="G7" s="6">
        <v>28894.04</v>
      </c>
      <c r="H7" s="6">
        <v>22532.71</v>
      </c>
      <c r="I7" s="6">
        <v>24110.15</v>
      </c>
      <c r="J7" s="6">
        <v>28894.04</v>
      </c>
      <c r="K7" s="6">
        <v>18858</v>
      </c>
      <c r="L7" s="6">
        <v>21632</v>
      </c>
      <c r="M7" s="6">
        <v>23941</v>
      </c>
    </row>
    <row r="8" spans="1:26">
      <c r="A8" s="5" t="s">
        <v>9</v>
      </c>
      <c r="B8" s="6">
        <v>808</v>
      </c>
      <c r="C8" s="6">
        <v>932</v>
      </c>
      <c r="D8" s="6">
        <v>1250</v>
      </c>
      <c r="E8" s="6">
        <v>9368</v>
      </c>
      <c r="F8" s="6">
        <v>9117</v>
      </c>
      <c r="G8" s="6">
        <v>10240</v>
      </c>
      <c r="H8" s="6">
        <v>19567</v>
      </c>
      <c r="I8" s="6">
        <v>19139</v>
      </c>
      <c r="J8" s="6">
        <v>19124</v>
      </c>
      <c r="K8" s="6">
        <v>26249.33</v>
      </c>
      <c r="L8" s="6">
        <v>19356.87</v>
      </c>
      <c r="M8" s="6">
        <v>19973.21</v>
      </c>
    </row>
    <row r="9" spans="1:26">
      <c r="A9" s="5" t="s">
        <v>10</v>
      </c>
      <c r="B9" s="6">
        <v>587.32000000000005</v>
      </c>
      <c r="C9" s="6">
        <v>658.42</v>
      </c>
      <c r="D9" s="6">
        <v>924.51</v>
      </c>
      <c r="E9" s="6">
        <v>13360</v>
      </c>
      <c r="F9" s="6">
        <v>12646.2</v>
      </c>
      <c r="G9" s="6">
        <v>14329.58</v>
      </c>
      <c r="H9" s="6">
        <v>9396.32</v>
      </c>
      <c r="I9" s="6">
        <v>9289.2199999999993</v>
      </c>
      <c r="J9" s="6">
        <v>9190.82</v>
      </c>
      <c r="K9" s="6">
        <v>8421.14</v>
      </c>
      <c r="L9" s="6">
        <v>8816.2099999999991</v>
      </c>
      <c r="M9" s="6">
        <v>9358.73</v>
      </c>
    </row>
    <row r="12" spans="1:26">
      <c r="A12" s="35" t="s">
        <v>4</v>
      </c>
      <c r="B12" s="90" t="s">
        <v>11</v>
      </c>
      <c r="C12" s="91"/>
      <c r="D12" s="92"/>
      <c r="E12" s="90" t="s">
        <v>12</v>
      </c>
      <c r="F12" s="91"/>
      <c r="G12" s="92"/>
      <c r="H12" s="90" t="s">
        <v>13</v>
      </c>
      <c r="I12" s="91"/>
      <c r="J12" s="92"/>
      <c r="K12" s="87" t="s">
        <v>14</v>
      </c>
      <c r="L12" s="88"/>
      <c r="M12" s="89"/>
    </row>
    <row r="13" spans="1:26">
      <c r="A13" s="34"/>
      <c r="B13" s="4">
        <v>2015</v>
      </c>
      <c r="C13" s="4">
        <v>2016</v>
      </c>
      <c r="D13" s="4">
        <v>2017</v>
      </c>
      <c r="E13" s="4">
        <v>2015</v>
      </c>
      <c r="F13" s="4">
        <v>2016</v>
      </c>
      <c r="G13" s="4">
        <v>2017</v>
      </c>
      <c r="H13" s="4">
        <v>2015</v>
      </c>
      <c r="I13" s="4">
        <v>2016</v>
      </c>
      <c r="J13" s="4">
        <v>2017</v>
      </c>
      <c r="K13" s="7">
        <v>2015</v>
      </c>
      <c r="L13" s="7">
        <v>2016</v>
      </c>
      <c r="M13" s="7">
        <v>2017</v>
      </c>
    </row>
    <row r="14" spans="1:26">
      <c r="A14" s="5" t="s">
        <v>8</v>
      </c>
      <c r="B14" s="8">
        <f t="shared" ref="B14:J14" si="0">B7/E7</f>
        <v>8.0243506878256723E-2</v>
      </c>
      <c r="C14" s="8">
        <f t="shared" si="0"/>
        <v>8.5687875067860686E-2</v>
      </c>
      <c r="D14" s="8">
        <f t="shared" si="0"/>
        <v>7.7213155377371945E-2</v>
      </c>
      <c r="E14" s="9">
        <f t="shared" si="0"/>
        <v>1.3107655492836858</v>
      </c>
      <c r="F14" s="9">
        <f t="shared" si="0"/>
        <v>1.2720555450712667</v>
      </c>
      <c r="G14" s="9">
        <f t="shared" si="0"/>
        <v>1</v>
      </c>
      <c r="H14" s="9">
        <f t="shared" si="0"/>
        <v>1.1948621274790538</v>
      </c>
      <c r="I14" s="9">
        <f t="shared" si="0"/>
        <v>1.1145594489644972</v>
      </c>
      <c r="J14" s="9">
        <f t="shared" si="0"/>
        <v>1.2068852595965081</v>
      </c>
      <c r="K14" s="8">
        <f t="shared" ref="K14:M14" si="1">B14*E14*H14</f>
        <v>0.1256761056315622</v>
      </c>
      <c r="L14" s="8">
        <f t="shared" si="1"/>
        <v>0.12148668639053256</v>
      </c>
      <c r="M14" s="8">
        <f t="shared" si="1"/>
        <v>9.3187419071885047E-2</v>
      </c>
    </row>
    <row r="15" spans="1:26">
      <c r="A15" s="5" t="s">
        <v>9</v>
      </c>
      <c r="B15" s="8">
        <f t="shared" ref="B15:J15" si="2">B8/E8</f>
        <v>8.6251067463706241E-2</v>
      </c>
      <c r="C15" s="8">
        <f t="shared" si="2"/>
        <v>0.10222660963036087</v>
      </c>
      <c r="D15" s="8">
        <f t="shared" si="2"/>
        <v>0.1220703125</v>
      </c>
      <c r="E15" s="9">
        <f t="shared" si="2"/>
        <v>0.47876526805335512</v>
      </c>
      <c r="F15" s="9">
        <f t="shared" si="2"/>
        <v>0.47635717644600034</v>
      </c>
      <c r="G15" s="9">
        <f t="shared" si="2"/>
        <v>0.53545283413511813</v>
      </c>
      <c r="H15" s="9">
        <f t="shared" si="2"/>
        <v>0.74542854998584718</v>
      </c>
      <c r="I15" s="9">
        <f t="shared" si="2"/>
        <v>0.98874456459127957</v>
      </c>
      <c r="J15" s="9">
        <f t="shared" si="2"/>
        <v>0.95748254787287579</v>
      </c>
      <c r="K15" s="8">
        <f t="shared" ref="K15:M15" si="3">B15*E15*H15</f>
        <v>3.0781738048171133E-2</v>
      </c>
      <c r="L15" s="8">
        <f t="shared" si="3"/>
        <v>4.8148280171329369E-2</v>
      </c>
      <c r="M15" s="8">
        <f t="shared" si="3"/>
        <v>6.2583831041680332E-2</v>
      </c>
    </row>
    <row r="16" spans="1:26">
      <c r="A16" s="5" t="s">
        <v>10</v>
      </c>
      <c r="B16" s="8">
        <f t="shared" ref="B16:J16" si="4">B9/E9</f>
        <v>4.3961077844311379E-2</v>
      </c>
      <c r="C16" s="8">
        <f t="shared" si="4"/>
        <v>5.2064651832170926E-2</v>
      </c>
      <c r="D16" s="8">
        <f t="shared" si="4"/>
        <v>6.4517592281141525E-2</v>
      </c>
      <c r="E16" s="9">
        <f t="shared" si="4"/>
        <v>1.4218332283276858</v>
      </c>
      <c r="F16" s="9">
        <f t="shared" si="4"/>
        <v>1.3613844865338534</v>
      </c>
      <c r="G16" s="9">
        <f t="shared" si="4"/>
        <v>1.5591187728624867</v>
      </c>
      <c r="H16" s="9">
        <f t="shared" si="4"/>
        <v>1.1158014235602307</v>
      </c>
      <c r="I16" s="9">
        <f t="shared" si="4"/>
        <v>1.0536523063765495</v>
      </c>
      <c r="J16" s="9">
        <f t="shared" si="4"/>
        <v>0.98205846306069311</v>
      </c>
      <c r="K16" s="8">
        <f t="shared" ref="K16:M16" si="5">B16*E16*H16</f>
        <v>6.9743526410913498E-2</v>
      </c>
      <c r="L16" s="8">
        <f t="shared" si="5"/>
        <v>7.4682885276099356E-2</v>
      </c>
      <c r="M16" s="8">
        <f t="shared" si="5"/>
        <v>9.8785839531645853E-2</v>
      </c>
    </row>
  </sheetData>
  <mergeCells count="7">
    <mergeCell ref="K12:M12"/>
    <mergeCell ref="B5:D5"/>
    <mergeCell ref="E5:G5"/>
    <mergeCell ref="H5:J5"/>
    <mergeCell ref="H12:J12"/>
    <mergeCell ref="E12:G12"/>
    <mergeCell ref="B12:D1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Revenue Model</vt:lpstr>
      <vt:lpstr>FAS</vt:lpstr>
      <vt:lpstr>Financial Statements</vt:lpstr>
      <vt:lpstr>Asset schedule</vt:lpstr>
      <vt:lpstr>Balance Sheet</vt:lpstr>
      <vt:lpstr>DCF</vt:lpstr>
      <vt:lpstr>Relative</vt:lpstr>
      <vt:lpstr>DuPoint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 Paturkar</cp:lastModifiedBy>
  <dcterms:created xsi:type="dcterms:W3CDTF">2018-12-29T07:53:35Z</dcterms:created>
  <dcterms:modified xsi:type="dcterms:W3CDTF">2018-12-29T07:58:01Z</dcterms:modified>
</cp:coreProperties>
</file>