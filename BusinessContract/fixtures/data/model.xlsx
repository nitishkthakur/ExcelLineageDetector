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Summary" sheetId="4" state="visible" r:id="rId4"/>
  </sheets>
  <definedNames>
    <definedName name="DiscountRate">Assumptions!$B$2</definedName>
    <definedName name="TerminalGrowth">Assumptions!$B$3</definedName>
    <definedName name="TaxRate">Assumptions!$B$4</definedName>
  </definedNames>
  <calcPr calcId="124519" fullCalcOnLoad="1"/>
</workbook>
</file>

<file path=xl/connections.xml><?xml version="1.0" encoding="utf-8"?>
<connections xmlns="http://schemas.openxmlformats.org/spreadsheetml/2006/main">
  <connection id="1" name="SQLServer_Finance" type="1" refreshedVersion="6" background="1" saveData="1">
    <dbPr connection="Provider=SQLOLEDB;Data Source=fin-db-01;Initial Catalog=FinanceDB;Integrated Security=SSPI;" command="SELECT * FROM dbo.MarketData WHERE Year=2024" commandType="2"/>
  </connection>
</connections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?xml version="1.0" encoding="UTF-8" standalone="yes"?>
<Relationships xmlns="http://schemas.openxmlformats.org/package/2006/relationships">
  <Relationship Id="rId1"
    Type="http://schemas.openxmlformats.org/officeDocument/2006/relationships/externalLinkPath"
    Target="upstream_a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Lookup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Revenue (Source: Bloomberg)</t>
        </is>
      </c>
    </row>
    <row r="2">
      <c r="B2" t="n">
        <v>100.61</v>
      </c>
      <c r="C2" t="n">
        <v>98.53</v>
      </c>
      <c r="D2" t="n">
        <v>100.03</v>
      </c>
      <c r="E2" t="n">
        <v>101.91</v>
      </c>
      <c r="F2" t="n">
        <v>98.01000000000001</v>
      </c>
      <c r="G2" t="n">
        <v>95.41</v>
      </c>
      <c r="H2" t="n">
        <v>95.66</v>
      </c>
      <c r="I2" t="n">
        <v>95.03</v>
      </c>
      <c r="J2" t="n">
        <v>94.98999999999999</v>
      </c>
      <c r="K2" t="n">
        <v>93.29000000000001</v>
      </c>
      <c r="L2" t="n">
        <v>95.05</v>
      </c>
      <c r="M2" t="n">
        <v>96.59999999999999</v>
      </c>
    </row>
    <row r="3">
      <c r="A3" s="1" t="inlineStr">
        <is>
          <t>Quarterly Costs</t>
        </is>
      </c>
    </row>
    <row r="4">
      <c r="B4" t="n">
        <v>60.45</v>
      </c>
      <c r="C4" t="n">
        <v>59.2</v>
      </c>
      <c r="D4" t="n">
        <v>60.1</v>
      </c>
      <c r="E4" t="n">
        <v>61.23</v>
      </c>
      <c r="F4" t="n">
        <v>58.89</v>
      </c>
      <c r="G4" t="n">
        <v>57.33</v>
      </c>
      <c r="H4" t="n">
        <v>57.48</v>
      </c>
      <c r="I4" t="n">
        <v>57.1</v>
      </c>
      <c r="J4" t="n">
        <v>57.08</v>
      </c>
      <c r="K4" t="n">
        <v>56.06</v>
      </c>
      <c r="L4" t="n">
        <v>57.11</v>
      </c>
      <c r="M4" t="n">
        <v>58.04</v>
      </c>
    </row>
    <row r="6">
      <c r="A6" s="1" t="inlineStr">
        <is>
          <t>Growth Rates</t>
        </is>
      </c>
    </row>
    <row r="7">
      <c r="B7" t="n">
        <v>0</v>
      </c>
      <c r="C7" t="n">
        <v>-0.0207</v>
      </c>
      <c r="D7" t="n">
        <v>0.0152</v>
      </c>
      <c r="E7" t="n">
        <v>0.0188</v>
      </c>
      <c r="F7" t="n">
        <v>-0.0383</v>
      </c>
      <c r="G7" t="n">
        <v>-0.0265</v>
      </c>
      <c r="H7" t="n">
        <v>0.0026</v>
      </c>
      <c r="I7" t="n">
        <v>-0.0066</v>
      </c>
      <c r="J7" t="n">
        <v>-0.0004</v>
      </c>
      <c r="K7" t="n">
        <v>-0.0179</v>
      </c>
      <c r="L7" t="n">
        <v>0.0189</v>
      </c>
      <c r="M7" t="n">
        <v>0.0163</v>
      </c>
    </row>
    <row r="9">
      <c r="A9" s="1" t="inlineStr">
        <is>
          <t>Volume Data</t>
        </is>
      </c>
    </row>
    <row r="10">
      <c r="B10" t="n">
        <v>5000</v>
      </c>
      <c r="C10" t="n">
        <v>5015</v>
      </c>
      <c r="D10" t="n">
        <v>5001</v>
      </c>
      <c r="E10" t="n">
        <v>4957</v>
      </c>
      <c r="F10" t="n">
        <v>4934</v>
      </c>
      <c r="G10" t="n">
        <v>4884</v>
      </c>
      <c r="H10" t="n">
        <v>4887</v>
      </c>
      <c r="I10" t="n">
        <v>4954</v>
      </c>
      <c r="J10" t="n">
        <v>4930</v>
      </c>
      <c r="K10" t="n">
        <v>4899</v>
      </c>
      <c r="L10" t="n">
        <v>4923</v>
      </c>
      <c r="M10" t="n">
        <v>4941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Discount Rate</t>
        </is>
      </c>
      <c r="B2" t="n">
        <v>0.08</v>
      </c>
    </row>
    <row r="3">
      <c r="A3" t="inlineStr">
        <is>
          <t>Terminal Growth Rate</t>
        </is>
      </c>
      <c r="B3" t="n">
        <v>0.025</v>
      </c>
    </row>
    <row r="4">
      <c r="A4" t="inlineStr">
        <is>
          <t>Tax Rate</t>
        </is>
      </c>
      <c r="B4" t="n">
        <v>0.21</v>
      </c>
    </row>
    <row r="5">
      <c r="A5" t="inlineStr">
        <is>
          <t>Inflation Rate</t>
        </is>
      </c>
      <c r="B5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</row>
    <row r="2">
      <c r="A2" t="inlineStr">
        <is>
          <t>Gross Profit</t>
        </is>
      </c>
      <c r="B2">
        <f>Inputs!B2-Inputs!B4</f>
        <v/>
      </c>
      <c r="C2">
        <f>Inputs!C2-Inputs!C4</f>
        <v/>
      </c>
      <c r="D2">
        <f>Inputs!D2-Inputs!D4</f>
        <v/>
      </c>
      <c r="E2">
        <f>Inputs!E2-Inputs!E4</f>
        <v/>
      </c>
      <c r="F2">
        <f>Inputs!F2-Inputs!F4</f>
        <v/>
      </c>
      <c r="G2">
        <f>Inputs!G2-Inputs!G4</f>
        <v/>
      </c>
      <c r="H2">
        <f>Inputs!H2-Inputs!H4</f>
        <v/>
      </c>
      <c r="I2">
        <f>Inputs!I2-Inputs!I4</f>
        <v/>
      </c>
      <c r="J2">
        <f>Inputs!J2-Inputs!J4</f>
        <v/>
      </c>
      <c r="K2">
        <f>Inputs!K2-Inputs!K4</f>
        <v/>
      </c>
      <c r="L2">
        <f>Inputs!L2-Inputs!L4</f>
        <v/>
      </c>
      <c r="M2">
        <f>Inputs!M2-Inputs!M4</f>
        <v/>
      </c>
    </row>
    <row r="3">
      <c r="A3" t="inlineStr">
        <is>
          <t>Tax Amount</t>
        </is>
      </c>
      <c r="B3">
        <f>B2*Assumptions!$B$4</f>
        <v/>
      </c>
      <c r="C3">
        <f>C2*Assumptions!$B$4</f>
        <v/>
      </c>
      <c r="D3">
        <f>D2*Assumptions!$B$4</f>
        <v/>
      </c>
      <c r="E3">
        <f>E2*Assumptions!$B$4</f>
        <v/>
      </c>
      <c r="F3">
        <f>F2*Assumptions!$B$4</f>
        <v/>
      </c>
      <c r="G3">
        <f>G2*Assumptions!$B$4</f>
        <v/>
      </c>
      <c r="H3">
        <f>H2*Assumptions!$B$4</f>
        <v/>
      </c>
      <c r="I3">
        <f>I2*Assumptions!$B$4</f>
        <v/>
      </c>
      <c r="J3">
        <f>J2*Assumptions!$B$4</f>
        <v/>
      </c>
      <c r="K3">
        <f>K2*Assumptions!$B$4</f>
        <v/>
      </c>
      <c r="L3">
        <f>L2*Assumptions!$B$4</f>
        <v/>
      </c>
      <c r="M3">
        <f>M2*Assumptions!$B$4</f>
        <v/>
      </c>
    </row>
    <row r="4">
      <c r="A4" t="inlineStr">
        <is>
          <t>Net Income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  <c r="H4">
        <f>H2-H3</f>
        <v/>
      </c>
      <c r="I4">
        <f>I2-I3</f>
        <v/>
      </c>
      <c r="J4">
        <f>J2-J3</f>
        <v/>
      </c>
      <c r="K4">
        <f>K2-K3</f>
        <v/>
      </c>
      <c r="L4">
        <f>L2-L3</f>
        <v/>
      </c>
      <c r="M4">
        <f>M2-M3</f>
        <v/>
      </c>
    </row>
    <row r="5">
      <c r="A5" t="inlineStr">
        <is>
          <t>Discounted Cash Flow</t>
        </is>
      </c>
      <c r="B5">
        <f>B4/(1+Assumptions!$B$2)^1</f>
        <v/>
      </c>
      <c r="C5">
        <f>C4/(1+Assumptions!$B$2)^2</f>
        <v/>
      </c>
      <c r="D5">
        <f>D4/(1+Assumptions!$B$2)^3</f>
        <v/>
      </c>
      <c r="E5">
        <f>E4/(1+Assumptions!$B$2)^4</f>
        <v/>
      </c>
      <c r="F5">
        <f>F4/(1+Assumptions!$B$2)^5</f>
        <v/>
      </c>
      <c r="G5">
        <f>G4/(1+Assumptions!$B$2)^6</f>
        <v/>
      </c>
      <c r="H5">
        <f>H4/(1+Assumptions!$B$2)^7</f>
        <v/>
      </c>
      <c r="I5">
        <f>I4/(1+Assumptions!$B$2)^8</f>
        <v/>
      </c>
      <c r="J5">
        <f>J4/(1+Assumptions!$B$2)^9</f>
        <v/>
      </c>
      <c r="K5">
        <f>K4/(1+Assumptions!$B$2)^10</f>
        <v/>
      </c>
      <c r="L5">
        <f>L4/(1+Assumptions!$B$2)^11</f>
        <v/>
      </c>
      <c r="M5">
        <f>M4/(1+Assumptions!$B$2)^12</f>
        <v/>
      </c>
    </row>
    <row r="6">
      <c r="A6" t="inlineStr">
        <is>
          <t>Cumulative DCF</t>
        </is>
      </c>
      <c r="B6">
        <f>B5</f>
        <v/>
      </c>
      <c r="C6">
        <f>B6+C5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</row>
    <row r="999">
      <c r="N3">
        <f>'[upstream_a.xlsx]'!QuarterlyRevenue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Summary Output</t>
        </is>
      </c>
    </row>
    <row r="3">
      <c r="A3" t="inlineStr">
        <is>
          <t>Total Revenue</t>
        </is>
      </c>
      <c r="B3">
        <f>SUM(Inputs!B2:M2)</f>
        <v/>
      </c>
    </row>
    <row r="4">
      <c r="A4" t="inlineStr">
        <is>
          <t>Total Costs</t>
        </is>
      </c>
      <c r="B4">
        <f>SUM(Inputs!B4:M4)</f>
        <v/>
      </c>
    </row>
    <row r="5">
      <c r="A5" t="inlineStr">
        <is>
          <t>Total Gross Profit</t>
        </is>
      </c>
      <c r="B5">
        <f>SUM(Calculations!B2:M2)</f>
        <v/>
      </c>
    </row>
    <row r="6">
      <c r="A6" t="inlineStr">
        <is>
          <t>Total Net Income</t>
        </is>
      </c>
      <c r="B6">
        <f>SUM(Calculations!B4:M4)</f>
        <v/>
      </c>
    </row>
    <row r="7">
      <c r="A7" t="inlineStr">
        <is>
          <t>NPV (Sum of DCF)</t>
        </is>
      </c>
      <c r="B7">
        <f>SUM(Calculations!B5:M5)</f>
        <v/>
      </c>
    </row>
    <row r="8">
      <c r="A8" t="inlineStr">
        <is>
          <t>Terminal Value</t>
        </is>
      </c>
      <c r="B8">
        <f>Calculations!M4*(1+Assumptions!B3)/(Assumptions!B2-Assumptions!B3)</f>
        <v/>
      </c>
    </row>
    <row r="9">
      <c r="A9" t="inlineStr">
        <is>
          <t>Enterprise Value</t>
        </is>
      </c>
      <c r="B9">
        <f>B7+B8</f>
        <v/>
      </c>
    </row>
    <row r="10">
      <c r="A10" t="inlineStr">
        <is>
          <t>Discount Rate Used</t>
        </is>
      </c>
      <c r="B10">
        <f>Assumptions!B2</f>
        <v/>
      </c>
    </row>
    <row r="11">
      <c r="A11" t="inlineStr">
        <is>
          <t>Avg Growth Rate</t>
        </is>
      </c>
      <c r="B11">
        <f>AVERAGE(Inputs!B7:M7)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2026-03-23T20:58:30Z</dcterms:created>
  <dcterms:modified xmlns:dcterms="http://purl.org/dc/terms/" xmlns:xsi="http://www.w3.org/2001/XMLSchema-instance" xsi:type="dcterms:W3CDTF">2026-03-23T20:58:30Z</dcterms:modified>
</cp:coreProperties>
</file>